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6004cc20b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bb1383683554568"/>
    <x:sheet xmlns:r="http://schemas.openxmlformats.org/officeDocument/2006/relationships" name="Test Sessions" sheetId="2" r:id="R0cd1134f109e40d2"/>
    <x:sheet xmlns:r="http://schemas.openxmlformats.org/officeDocument/2006/relationships" name="Recipe Reviews" sheetId="3" r:id="R8e16949304e241f7"/>
    <x:sheet xmlns:r="http://schemas.openxmlformats.org/officeDocument/2006/relationships" name="Coverage Matrix" sheetId="4" r:id="Rc3f6fd2047d34e86"/>
    <x:sheet xmlns:r="http://schemas.openxmlformats.org/officeDocument/2006/relationships" name="Release Dashboard" sheetId="5" r:id="R6d1f9eb1b6e24b97"/>
    <x:sheet xmlns:r="http://schemas.openxmlformats.org/officeDocument/2006/relationships" name="Issue Guide" sheetId="6" r:id="R58d6f08bc0c7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5684E"/>
      <x:name val="Carlito"/>
    </x:font>
    <x:font>
      <x:b/>
      <x:sz val="11"/>
      <x:color rgb="FFFFFFFF"/>
      <x:name val="Carlito"/>
    </x:font>
    <x:font>
      <x:sz val="11"/>
      <x:color rgb="FF14231C"/>
      <x:name val="Carlito"/>
    </x:font>
    <x:font>
      <x:b/>
      <x:sz val="11"/>
      <x:color rgb="FFA8442B"/>
      <x:name val="Carlito"/>
    </x:font>
    <x:font>
      <x:b/>
      <x:sz val="11"/>
      <x:color rgb="FF14231C"/>
      <x:name val="Carlito"/>
    </x:font>
    <x:font>
      <x:b/>
      <x:sz val="20"/>
      <x:color rgb="FF14231C"/>
      <x:name val="Aptos"/>
    </x:font>
    <x:font>
      <x:i/>
      <x:sz val="11"/>
      <x:color rgb="FF14231C"/>
      <x:name val="Aptos"/>
    </x:font>
    <x:font>
      <x:sz val="11"/>
      <x:color rgb="FF14231C"/>
      <x:name val="Aptos"/>
    </x:font>
    <x:font>
      <x:b/>
      <x:sz val="11"/>
      <x:color rgb="FF14231C"/>
      <x:name val="Aptos"/>
    </x:font>
    <x:font>
      <x:b/>
      <x:sz val="20"/>
      <x:color rgb="FFFFFFFF"/>
      <x:name val="Aptos Display"/>
    </x:font>
    <x:font>
      <x:b/>
      <x:sz val="16"/>
      <x:color rgb="FF1423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31C"/>
      </x:patternFill>
    </x:fill>
    <x:fill>
      <x:patternFill patternType="solid">
        <x:fgColor rgb="FFE8F0EB"/>
      </x:patternFill>
    </x:fill>
    <x:fill>
      <x:patternFill patternType="solid">
        <x:fgColor rgb="FF35684E"/>
      </x:patternFill>
    </x:fill>
    <x:fill>
      <x:patternFill patternType="solid">
        <x:fgColor rgb="FFFBECE8"/>
      </x:patternFill>
    </x:fill>
    <x:fill>
      <x:patternFill patternType="solid">
        <x:fgColor rgb="FFFFF3D9"/>
      </x:patternFill>
    </x:fill>
  </x:fills>
  <x:borders count="23">
    <x:border/>
    <x:border>
      <x:right style="thin">
        <x:color rgb="FFD7DDD8"/>
      </x:right>
    </x:border>
    <x:border>
      <x:left style="thin">
        <x:color rgb="FFD7DDD8"/>
      </x:left>
    </x:border>
    <x:border>
      <x:bottom style="thin">
        <x:color rgb="FFD7DDD8"/>
      </x:bottom>
    </x:border>
    <x:border>
      <x:top style="thin">
        <x:color rgb="FFD7DDD8"/>
      </x:top>
      <x:bottom style="thin">
        <x:color rgb="FFD7DDD8"/>
      </x:bottom>
    </x:border>
    <x:border>
      <x:top style="thin">
        <x:color rgb="FFD7DDD8"/>
      </x:top>
    </x:border>
    <x:border>
      <x:left style="thin">
        <x:color rgb="FFD7DDD8"/>
      </x:left>
      <x:right style="thin">
        <x:color rgb="FFD7DDD8"/>
      </x:right>
    </x:border>
    <x:border>
      <x:left style="medium">
        <x:color rgb="FFA8442B"/>
      </x:left>
      <x:top style="medium">
        <x:color rgb="FFA8442B"/>
      </x:top>
    </x:border>
    <x:border>
      <x:top style="medium">
        <x:color rgb="FFA8442B"/>
      </x:top>
    </x:border>
    <x:border>
      <x:right style="medium">
        <x:color rgb="FFA8442B"/>
      </x:right>
      <x:top style="medium">
        <x:color rgb="FFA8442B"/>
      </x:top>
    </x:border>
    <x:border>
      <x:left style="medium">
        <x:color rgb="FFA8442B"/>
      </x:left>
    </x:border>
    <x:border>
      <x:right style="medium">
        <x:color rgb="FFA8442B"/>
      </x:right>
    </x:border>
    <x:border>
      <x:left style="medium">
        <x:color rgb="FFA8442B"/>
      </x:left>
      <x:bottom style="medium">
        <x:color rgb="FFA8442B"/>
      </x:bottom>
    </x:border>
    <x:border>
      <x:bottom style="medium">
        <x:color rgb="FFA8442B"/>
      </x:bottom>
    </x:border>
    <x:border>
      <x:right style="medium">
        <x:color rgb="FFA8442B"/>
      </x:right>
      <x:bottom style="medium">
        <x:color rgb="FFA8442B"/>
      </x:bottom>
    </x:border>
    <x:border>
      <x:left style="medium">
        <x:color rgb="FFE3B85A"/>
      </x:left>
      <x:top style="medium">
        <x:color rgb="FFE3B85A"/>
      </x:top>
    </x:border>
    <x:border>
      <x:top style="medium">
        <x:color rgb="FFE3B85A"/>
      </x:top>
    </x:border>
    <x:border>
      <x:right style="medium">
        <x:color rgb="FFE3B85A"/>
      </x:right>
      <x:top style="medium">
        <x:color rgb="FFE3B85A"/>
      </x:top>
    </x:border>
    <x:border>
      <x:left style="medium">
        <x:color rgb="FFE3B85A"/>
      </x:left>
    </x:border>
    <x:border>
      <x:right style="medium">
        <x:color rgb="FFE3B85A"/>
      </x:right>
    </x:border>
    <x:border>
      <x:left style="medium">
        <x:color rgb="FFE3B85A"/>
      </x:left>
      <x:bottom style="medium">
        <x:color rgb="FFE3B85A"/>
      </x:bottom>
    </x:border>
    <x:border>
      <x:bottom style="medium">
        <x:color rgb="FFE3B85A"/>
      </x:bottom>
    </x:border>
    <x:border>
      <x:right style="medium">
        <x:color rgb="FFE3B85A"/>
      </x:right>
      <x:bottom style="medium">
        <x:color rgb="FFE3B85A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6" borderId="15" xfId="0" applyNumberFormat="1" applyFont="1" applyFill="1" applyBorder="1" applyAlignment="1">
      <x:alignment vertical="center" wrapText="1"/>
    </x:xf>
    <x:xf numFmtId="0" fontId="10" fillId="6" borderId="16" xfId="0" applyNumberFormat="1" applyFont="1" applyFill="1" applyBorder="1" applyAlignment="1">
      <x:alignment vertical="center" wrapText="1"/>
    </x:xf>
    <x:xf numFmtId="0" fontId="10" fillId="6" borderId="17" xfId="0" applyNumberFormat="1" applyFont="1" applyFill="1" applyBorder="1" applyAlignment="1">
      <x:alignment vertical="center" wrapText="1"/>
    </x:xf>
    <x:xf numFmtId="0" fontId="10" fillId="6" borderId="18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9" xfId="0" applyNumberFormat="1" applyFont="1" applyFill="1" applyBorder="1" applyAlignment="1">
      <x:alignment vertical="center" wrapText="1"/>
    </x:xf>
    <x:xf numFmtId="0" fontId="10" fillId="6" borderId="20" xfId="0" applyNumberFormat="1" applyFont="1" applyFill="1" applyBorder="1" applyAlignment="1">
      <x:alignment vertical="center" wrapText="1"/>
    </x:xf>
    <x:xf numFmtId="0" fontId="10" fillId="6" borderId="21" xfId="0" applyNumberFormat="1" applyFont="1" applyFill="1" applyBorder="1" applyAlignment="1">
      <x:alignment vertical="center" wrapText="1"/>
    </x:xf>
    <x:xf numFmtId="0" fontId="10" fillId="6" borderId="22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12" fillId="6" borderId="15" xfId="0" applyNumberFormat="1" applyFont="1" applyFill="1" applyBorder="1"/>
    <x:xf numFmtId="0" fontId="12" fillId="6" borderId="16" xfId="0" applyNumberFormat="1" applyFont="1" applyFill="1" applyBorder="1"/>
    <x:xf numFmtId="0" fontId="12" fillId="6" borderId="17" xfId="0" applyNumberFormat="1" applyFont="1" applyFill="1" applyBorder="1"/>
    <x:xf numFmtId="0" fontId="12" fillId="6" borderId="18" xfId="0" applyNumberFormat="1" applyFont="1" applyFill="1" applyBorder="1"/>
    <x:xf numFmtId="0" fontId="12" fillId="6" borderId="19" xfId="0" applyNumberFormat="1" applyFont="1" applyFill="1" applyBorder="1"/>
    <x:xf numFmtId="0" fontId="12" fillId="6" borderId="20" xfId="0" applyNumberFormat="1" applyFont="1" applyFill="1" applyBorder="1"/>
    <x:xf numFmtId="0" fontId="12" fillId="6" borderId="21" xfId="0" applyNumberFormat="1" applyFont="1" applyFill="1" applyBorder="1"/>
    <x:xf numFmtId="0" fontId="12" fillId="6" borderId="22" xfId="0" applyNumberFormat="1" applyFont="1" applyFill="1" applyBorder="1"/>
    <x:xf numFmtId="0" fontId="12" fillId="6" borderId="15" xfId="0" applyNumberFormat="1" applyFont="1" applyFill="1" applyBorder="1" applyAlignment="1">
      <x:alignment wrapText="1"/>
    </x:xf>
    <x:xf numFmtId="0" fontId="12" fillId="6" borderId="16" xfId="0" applyNumberFormat="1" applyFont="1" applyFill="1" applyBorder="1" applyAlignment="1">
      <x:alignment wrapText="1"/>
    </x:xf>
    <x:xf numFmtId="0" fontId="12" fillId="6" borderId="17" xfId="0" applyNumberFormat="1" applyFont="1" applyFill="1" applyBorder="1" applyAlignment="1">
      <x:alignment wrapText="1"/>
    </x:xf>
    <x:xf numFmtId="0" fontId="12" fillId="6" borderId="18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19" xfId="0" applyNumberFormat="1" applyFont="1" applyFill="1" applyBorder="1" applyAlignment="1">
      <x:alignment wrapText="1"/>
    </x:xf>
    <x:xf numFmtId="0" fontId="12" fillId="6" borderId="20" xfId="0" applyNumberFormat="1" applyFont="1" applyFill="1" applyBorder="1" applyAlignment="1">
      <x:alignment wrapText="1"/>
    </x:xf>
    <x:xf numFmtId="0" fontId="12" fillId="6" borderId="21" xfId="0" applyNumberFormat="1" applyFont="1" applyFill="1" applyBorder="1" applyAlignment="1">
      <x:alignment wrapText="1"/>
    </x:xf>
    <x:xf numFmtId="0" fontId="12" fillId="6" borderId="22" xfId="0" applyNumberFormat="1" applyFont="1" applyFill="1" applyBorder="1" applyAlignment="1">
      <x:alignment wrapText="1"/>
    </x:xf>
    <x:xf numFmtId="0" fontId="12" fillId="6" borderId="15" xfId="0" applyNumberFormat="1" applyFont="1" applyFill="1" applyBorder="1" applyAlignment="1">
      <x:alignment horizontal="center" wrapText="1"/>
    </x:xf>
    <x:xf numFmtId="0" fontId="12" fillId="6" borderId="16" xfId="0" applyNumberFormat="1" applyFont="1" applyFill="1" applyBorder="1" applyAlignment="1">
      <x:alignment horizontal="center" wrapText="1"/>
    </x:xf>
    <x:xf numFmtId="0" fontId="12" fillId="6" borderId="17" xfId="0" applyNumberFormat="1" applyFont="1" applyFill="1" applyBorder="1" applyAlignment="1">
      <x:alignment horizontal="center" wrapText="1"/>
    </x:xf>
    <x:xf numFmtId="0" fontId="12" fillId="6" borderId="18" xfId="0" applyNumberFormat="1" applyFont="1" applyFill="1" applyBorder="1" applyAlignment="1">
      <x:alignment horizontal="center" wrapText="1"/>
    </x:xf>
    <x:xf numFmtId="0" fontId="12" fillId="6" borderId="0" xfId="0" applyNumberFormat="1" applyFont="1" applyFill="1" applyBorder="1" applyAlignment="1">
      <x:alignment horizontal="center" wrapText="1"/>
    </x:xf>
    <x:xf numFmtId="0" fontId="12" fillId="6" borderId="19" xfId="0" applyNumberFormat="1" applyFont="1" applyFill="1" applyBorder="1" applyAlignment="1">
      <x:alignment horizontal="center" wrapText="1"/>
    </x:xf>
    <x:xf numFmtId="0" fontId="12" fillId="6" borderId="20" xfId="0" applyNumberFormat="1" applyFont="1" applyFill="1" applyBorder="1" applyAlignment="1">
      <x:alignment horizontal="center" wrapText="1"/>
    </x:xf>
    <x:xf numFmtId="0" fontId="12" fillId="6" borderId="21" xfId="0" applyNumberFormat="1" applyFont="1" applyFill="1" applyBorder="1" applyAlignment="1">
      <x:alignment horizontal="center" wrapText="1"/>
    </x:xf>
    <x:xf numFmtId="0" fontId="12" fillId="6" borderId="22" xfId="0" applyNumberFormat="1" applyFont="1" applyFill="1" applyBorder="1" applyAlignment="1">
      <x:alignment horizontal="center" wrapText="1"/>
    </x:xf>
    <x:xf numFmtId="0" fontId="12" fillId="6" borderId="15" xfId="0" applyNumberFormat="1" applyFont="1" applyFill="1" applyBorder="1" applyAlignment="1">
      <x:alignment horizontal="center" vertical="center" wrapText="1"/>
    </x:xf>
    <x:xf numFmtId="0" fontId="12" fillId="6" borderId="16" xfId="0" applyNumberFormat="1" applyFont="1" applyFill="1" applyBorder="1" applyAlignment="1">
      <x:alignment horizontal="center" vertical="center" wrapText="1"/>
    </x:xf>
    <x:xf numFmtId="0" fontId="12" fillId="6" borderId="17" xfId="0" applyNumberFormat="1" applyFont="1" applyFill="1" applyBorder="1" applyAlignment="1">
      <x:alignment horizontal="center" vertical="center" wrapText="1"/>
    </x:xf>
    <x:xf numFmtId="0" fontId="12" fillId="6" borderId="18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19" xfId="0" applyNumberFormat="1" applyFont="1" applyFill="1" applyBorder="1" applyAlignment="1">
      <x:alignment horizontal="center" vertical="center" wrapText="1"/>
    </x:xf>
    <x:xf numFmtId="0" fontId="12" fillId="6" borderId="20" xfId="0" applyNumberFormat="1" applyFont="1" applyFill="1" applyBorder="1" applyAlignment="1">
      <x:alignment horizontal="center" vertical="center" wrapText="1"/>
    </x:xf>
    <x:xf numFmtId="0" fontId="12" fillId="6" borderId="21" xfId="0" applyNumberFormat="1" applyFont="1" applyFill="1" applyBorder="1" applyAlignment="1">
      <x:alignment horizontal="center" vertical="center" wrapText="1"/>
    </x:xf>
    <x:xf numFmtId="0" fontId="12" fillId="6" borderId="2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35684E"/>
      </x:font>
      <x:fill>
        <x:patternFill patternType="solid">
          <x:bgColor rgb="FFDFF1E5"/>
        </x:patternFill>
      </x:fill>
    </x:dxf>
    <x:dxf>
      <x:font>
        <x:b/>
        <x:color rgb="FFA8442B"/>
      </x:font>
      <x:fill>
        <x:patternFill patternType="solid">
          <x:bgColor rgb="FFFBECE8"/>
        </x:patternFill>
      </x:fill>
    </x:dxf>
    <x:dxf>
      <x:font>
        <x:b/>
        <x:color rgb="FFB97916"/>
      </x:font>
      <x:fill>
        <x:patternFill patternType="solid">
          <x:bgColor rgb="FFFFF3D9"/>
        </x:patternFill>
      </x:fill>
    </x:dxf>
    <x:dxf>
      <x:font>
        <x:b/>
        <x:color rgb="FF35684E"/>
      </x:font>
      <x:fill>
        <x:patternFill patternType="solid">
          <x:bgColor rgb="FFDFF1E5"/>
        </x:patternFill>
      </x:fill>
    </x:dxf>
    <x:dxf>
      <x:font>
        <x:b/>
        <x:color rgb="FFA8442B"/>
      </x:font>
      <x:fill>
        <x:patternFill patternType="solid">
          <x:bgColor rgb="FFFBECE8"/>
        </x:patternFill>
      </x:fill>
    </x:dxf>
    <x:dxf>
      <x:font>
        <x:b/>
        <x:color rgb="FFA8442B"/>
      </x:font>
      <x:fill>
        <x:patternFill patternType="solid">
          <x:bgColor rgb="FFFBECE8"/>
        </x:patternFill>
      </x:fill>
    </x:dxf>
    <x:dxf>
      <x:font>
        <x:b/>
        <x:color rgb="FFA8442B"/>
      </x:font>
      <x:fill>
        <x:patternFill patternType="solid">
          <x:bgColor rgb="FFFBECE8"/>
        </x:patternFill>
      </x:fill>
    </x:dxf>
    <x:dxf>
      <x:font>
        <x:b/>
        <x:color rgb="FF35684E"/>
      </x:font>
      <x:fill>
        <x:patternFill patternType="solid">
          <x:bgColor rgb="FFDFF1E5"/>
        </x:patternFill>
      </x:fill>
    </x:dxf>
    <x:dxf>
      <x:font>
        <x:b/>
        <x:color rgb="FFA8442B"/>
      </x:font>
      <x:fill>
        <x:patternFill patternType="solid">
          <x:bgColor rgb="FFFBECE8"/>
        </x:patternFill>
      </x:fill>
    </x:dxf>
    <x:dxf>
      <x:font>
        <x:b/>
        <x:color rgb="FFB97916"/>
      </x:font>
      <x:fill>
        <x:patternFill patternType="solid">
          <x:bgColor rgb="FFFFF3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e6ead42084084" /><Relationship Type="http://schemas.openxmlformats.org/officeDocument/2006/relationships/theme" Target="/xl/theme/theme1.xml" Id="R69c3a76fe01b4e37" /><Relationship Type="http://schemas.openxmlformats.org/officeDocument/2006/relationships/sharedStrings" Target="/xl/sharedStrings.xml" Id="Rf63be9604b254ed8" /><Relationship Type="http://schemas.openxmlformats.org/officeDocument/2006/relationships/worksheet" Target="/xl/worksheets/sheet1.xml" Id="Rebb1383683554568" /><Relationship Type="http://schemas.openxmlformats.org/officeDocument/2006/relationships/worksheet" Target="/xl/worksheets/sheet2.xml" Id="R0cd1134f109e40d2" /><Relationship Type="http://schemas.openxmlformats.org/officeDocument/2006/relationships/worksheet" Target="/xl/worksheets/sheet3.xml" Id="R8e16949304e241f7" /><Relationship Type="http://schemas.openxmlformats.org/officeDocument/2006/relationships/worksheet" Target="/xl/worksheets/sheet4.xml" Id="Rc3f6fd2047d34e86" /><Relationship Type="http://schemas.openxmlformats.org/officeDocument/2006/relationships/worksheet" Target="/xl/worksheets/sheet5.xml" Id="R6d1f9eb1b6e24b97" /><Relationship Type="http://schemas.openxmlformats.org/officeDocument/2006/relationships/worksheet" Target="/xl/worksheets/sheet6.xml" Id="R58d6f08bc0c7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103" t="str">
        <x:v>Stock &amp; Stir — 5–7 Day Production Soak</x:v>
      </x:c>
      <x:c r="B1" s="103"/>
      <x:c r="C1" s="103"/>
      <x:c r="D1" s="103"/>
      <x:c r="E1" s="103"/>
      <x:c r="F1" s="103"/>
      <x:c r="G1" s="103"/>
      <x:c r="H1" s="103"/>
    </x:row>
    <x:row r="2" ht="34" customHeight="1">
      <x:c r="A2" s="77" t="str">
        <x:v>A practical human test plan for recipe correctness, shared-kitchen reliability, and release readiness.</x:v>
      </x:c>
      <x:c r="B2" s="77"/>
      <x:c r="C2" s="77"/>
      <x:c r="D2" s="77"/>
      <x:c r="E2" s="77"/>
      <x:c r="F2" s="77"/>
      <x:c r="G2" s="77"/>
      <x:c r="H2" s="77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 ht="32" customHeight="1">
      <x:c r="A4" s="79" t="str">
        <x:v>Field</x:v>
      </x:c>
      <x:c r="B4" s="80" t="str">
        <x:v>Enter before testing</x:v>
      </x:c>
      <x:c r="C4" s="78"/>
      <x:c r="D4" s="79" t="str">
        <x:v>How to run each test</x:v>
      </x:c>
      <x:c r="E4" s="81"/>
      <x:c r="F4" s="81"/>
      <x:c r="G4" s="81"/>
      <x:c r="H4" s="80"/>
    </x:row>
    <x:row r="5">
      <x:c r="A5" s="82" t="str">
        <x:v>Soak start date</x:v>
      </x:c>
      <x:c r="B5" s="82"/>
      <x:c r="C5" s="78"/>
      <x:c r="D5" s="82" t="str">
        <x:v>1. Record the active build and pantry/profile before starting.</x:v>
      </x:c>
      <x:c r="E5" s="82"/>
      <x:c r="F5" s="82"/>
      <x:c r="G5" s="82"/>
      <x:c r="H5" s="82"/>
    </x:row>
    <x:row r="6">
      <x:c r="A6" s="83" t="str">
        <x:v>Soak end date</x:v>
      </x:c>
      <x:c r="B6" s="83"/>
      <x:c r="C6" s="78"/>
      <x:c r="D6" s="83" t="str">
        <x:v>2. Generate or build the meal exactly as the coverage case specifies.</x:v>
      </x:c>
      <x:c r="E6" s="83"/>
      <x:c r="F6" s="83"/>
      <x:c r="G6" s="83"/>
      <x:c r="H6" s="83"/>
    </x:row>
    <x:row r="7">
      <x:c r="A7" s="83" t="str">
        <x:v>Primary tester</x:v>
      </x:c>
      <x:c r="B7" s="83"/>
      <x:c r="C7" s="78"/>
      <x:c r="D7" s="83" t="str">
        <x:v>3. Mark OK, NG, or Blocked in Test Sessions—every attempted recipe gets a result.</x:v>
      </x:c>
      <x:c r="E7" s="83"/>
      <x:c r="F7" s="83"/>
      <x:c r="G7" s="83"/>
      <x:c r="H7" s="83"/>
    </x:row>
    <x:row r="8">
      <x:c r="A8" s="83" t="str">
        <x:v>Production build ID</x:v>
      </x:c>
      <x:c r="B8" s="83"/>
      <x:c r="C8" s="78"/>
      <x:c r="D8" s="83" t="str">
        <x:v>4. If NG, capture the full recipe provenance and submit “Send for review.”</x:v>
      </x:c>
      <x:c r="E8" s="83"/>
      <x:c r="F8" s="83"/>
      <x:c r="G8" s="83"/>
      <x:c r="H8" s="83"/>
    </x:row>
    <x:row r="9">
      <x:c r="A9" s="83" t="str">
        <x:v>Production commit</x:v>
      </x:c>
      <x:c r="B9" s="83"/>
      <x:c r="C9" s="78"/>
      <x:c r="D9" s="83" t="str">
        <x:v>5. If OK, log it too. Positive evidence is required for a release decision.</x:v>
      </x:c>
      <x:c r="E9" s="83"/>
      <x:c r="F9" s="83"/>
      <x:c r="G9" s="83"/>
      <x:c r="H9" s="83"/>
    </x:row>
    <x:row r="10">
      <x:c r="A10" s="83" t="str">
        <x:v>API URL</x:v>
      </x:c>
      <x:c r="B10" s="83" t="str">
        <x:v>https://sns-api-xsq4.onrender.com</x:v>
      </x:c>
      <x:c r="C10" s="78"/>
      <x:c r="D10" s="83" t="str">
        <x:v>6. Cook a representative subset; visual review alone cannot prove timing, texture, or safety.</x:v>
      </x:c>
      <x:c r="E10" s="83"/>
      <x:c r="F10" s="83"/>
      <x:c r="G10" s="83"/>
      <x:c r="H10" s="83"/>
    </x:row>
    <x:row r="11">
      <x:c r="A11" s="83" t="str">
        <x:v>Web URL</x:v>
      </x:c>
      <x:c r="B11" s="83"/>
      <x:c r="C11" s="78"/>
      <x:c r="D11" s="84" t="str">
        <x:v>7. Stop the release for any P0: safety risk, data loss, cross-account leakage, or uncookable plan.</x:v>
      </x:c>
      <x:c r="E11" s="84"/>
      <x:c r="F11" s="84"/>
      <x:c r="G11" s="84"/>
      <x:c r="H11" s="84"/>
    </x:row>
    <x:row r="12">
      <x:c r="A12" s="84" t="str">
        <x:v>Target recipes</x:v>
      </x:c>
      <x:c r="B12" s="84" t="n">
        <x:v>30</x:v>
      </x:c>
      <x:c r="C12" s="78"/>
      <x:c r="D12" s="78"/>
      <x:c r="E12" s="78"/>
      <x:c r="F12" s="78"/>
      <x:c r="G12" s="78"/>
      <x:c r="H12" s="78"/>
    </x:row>
    <x:row r="13">
      <x:c r="A13" s="78"/>
      <x:c r="B13" s="78"/>
      <x:c r="C13" s="78"/>
      <x:c r="D13" s="78"/>
      <x:c r="E13" s="78"/>
      <x:c r="F13" s="78"/>
      <x:c r="G13" s="78"/>
      <x:c r="H13" s="78"/>
    </x:row>
    <x:row r="14">
      <x:c r="A14" s="78"/>
      <x:c r="B14" s="78"/>
      <x:c r="C14" s="78"/>
      <x:c r="D14" s="78"/>
      <x:c r="E14" s="78"/>
      <x:c r="F14" s="78"/>
      <x:c r="G14" s="78"/>
      <x:c r="H14" s="78"/>
    </x:row>
    <x:row r="15" ht="32" customHeight="1">
      <x:c r="A15" s="79" t="str">
        <x:v>Current blocking observation</x:v>
      </x:c>
      <x:c r="B15" s="81"/>
      <x:c r="C15" s="81"/>
      <x:c r="D15" s="81"/>
      <x:c r="E15" s="81"/>
      <x:c r="F15" s="81"/>
      <x:c r="G15" s="81"/>
      <x:c r="H15" s="80"/>
    </x:row>
    <x:row r="16">
      <x:c r="A16" s="85" t="str">
        <x:v>SYNC-004: the 140-item regional pantry rendered locally, but Supabase rejected Save My Kitchen with duplicate key value violating inventory_lots_household_id_client_item_id_key. The import must assign one stable, unique client_item_id per saved row and be safely repeatable before Deployment 3 release gates can pass.</x:v>
      </x:c>
      <x:c r="B16" s="86"/>
      <x:c r="C16" s="86"/>
      <x:c r="D16" s="86"/>
      <x:c r="E16" s="86"/>
      <x:c r="F16" s="86"/>
      <x:c r="G16" s="86"/>
      <x:c r="H16" s="87"/>
    </x:row>
    <x:row r="17">
      <x:c r="A17" s="88"/>
      <x:c r="B17" s="89"/>
      <x:c r="C17" s="89"/>
      <x:c r="D17" s="89"/>
      <x:c r="E17" s="89"/>
      <x:c r="F17" s="89"/>
      <x:c r="G17" s="89"/>
      <x:c r="H17" s="90"/>
    </x:row>
    <x:row r="18">
      <x:c r="A18" s="91"/>
      <x:c r="B18" s="92"/>
      <x:c r="C18" s="92"/>
      <x:c r="D18" s="92"/>
      <x:c r="E18" s="92"/>
      <x:c r="F18" s="92"/>
      <x:c r="G18" s="92"/>
      <x:c r="H18" s="93"/>
    </x:row>
    <x:row r="19">
      <x:c r="A19" s="78"/>
      <x:c r="B19" s="78"/>
      <x:c r="C19" s="78"/>
      <x:c r="D19" s="78"/>
      <x:c r="E19" s="78"/>
      <x:c r="F19" s="78"/>
      <x:c r="G19" s="78"/>
      <x:c r="H19" s="78"/>
    </x:row>
    <x:row r="20" ht="32" customHeight="1">
      <x:c r="A20" s="79" t="str">
        <x:v>Release rule</x:v>
      </x:c>
      <x:c r="B20" s="81"/>
      <x:c r="C20" s="81"/>
      <x:c r="D20" s="81"/>
      <x:c r="E20" s="81"/>
      <x:c r="F20" s="81"/>
      <x:c r="G20" s="81"/>
      <x:c r="H20" s="80"/>
    </x:row>
    <x:row r="21">
      <x:c r="A21" s="94" t="str">
        <x:v>No launch sign-off until: all P0/P1 coverage cases have run; zero open safety or shared-kitchen P0s; the same account shows the same kitchen on phone and desktop; at least 30 recipe attempts are logged; and all NG recipes have provenance plus a review record.</x:v>
      </x:c>
      <x:c r="B21" s="95"/>
      <x:c r="C21" s="95"/>
      <x:c r="D21" s="95"/>
      <x:c r="E21" s="95"/>
      <x:c r="F21" s="95"/>
      <x:c r="G21" s="95"/>
      <x:c r="H21" s="96"/>
    </x:row>
    <x:row r="22">
      <x:c r="A22" s="97"/>
      <x:c r="B22" s="98"/>
      <x:c r="C22" s="98"/>
      <x:c r="D22" s="98"/>
      <x:c r="E22" s="98"/>
      <x:c r="F22" s="98"/>
      <x:c r="G22" s="98"/>
      <x:c r="H22" s="99"/>
    </x:row>
    <x:row r="23">
      <x:c r="A23" s="100"/>
      <x:c r="B23" s="101"/>
      <x:c r="C23" s="101"/>
      <x:c r="D23" s="101"/>
      <x:c r="E23" s="101"/>
      <x:c r="F23" s="101"/>
      <x:c r="G23" s="101"/>
      <x:c r="H23" s="102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5:H15"/>
    <x:mergeCell ref="A16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2" hidden="0" customWidth="1"/>
    <x:col min="5" max="5" width="18" hidden="0" customWidth="1"/>
    <x:col min="6" max="6" width="14" hidden="0" customWidth="1"/>
    <x:col min="7" max="7" width="22" hidden="0" customWidth="1"/>
    <x:col min="8" max="8" width="24" hidden="0" customWidth="1"/>
    <x:col min="9" max="9" width="12" hidden="0" customWidth="1"/>
    <x:col min="10" max="10" width="10" hidden="0" customWidth="1"/>
    <x:col min="11" max="11" width="18" hidden="0" customWidth="1"/>
    <x:col min="12" max="12" width="15" hidden="0" customWidth="1"/>
    <x:col min="13" max="13" width="12" hidden="0" customWidth="1"/>
    <x:col min="14" max="14" width="14" hidden="0" customWidth="1"/>
    <x:col min="15" max="15" width="34" hidden="0" customWidth="1"/>
    <x:col min="16" max="16" width="24" hidden="0" customWidth="1"/>
    <x:col min="17" max="17" width="13" hidden="0" customWidth="1"/>
    <x:col min="18" max="18" width="11" hidden="0" customWidth="1"/>
    <x:col min="19" max="19" width="42" hidden="0" customWidth="1"/>
  </x:cols>
  <x:sheetData>
    <x:row r="1" ht="36" customHeight="1">
      <x:c r="A1" s="3" t="str">
        <x:v>Test Sessions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6" t="str">
        <x:v>One row per attempted recipe or blocked attempt. Mark every result—even the good ones.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2" customHeight="1">
      <x:c r="A4" s="11" t="str">
        <x:v>Test ID</x:v>
      </x:c>
      <x:c r="B4" s="19" t="str">
        <x:v>Date</x:v>
      </x:c>
      <x:c r="C4" s="19" t="str">
        <x:v>Tester</x:v>
      </x:c>
      <x:c r="D4" s="19" t="str">
        <x:v>Device / browser</x:v>
      </x:c>
      <x:c r="E4" s="19" t="str">
        <x:v>Build ID</x:v>
      </x:c>
      <x:c r="F4" s="19" t="str">
        <x:v>Commit</x:v>
      </x:c>
      <x:c r="G4" s="19" t="str">
        <x:v>Pantry / profile</x:v>
      </x:c>
      <x:c r="H4" s="19" t="str">
        <x:v>Path</x:v>
      </x:c>
      <x:c r="I4" s="19" t="str">
        <x:v>Energy</x:v>
      </x:c>
      <x:c r="J4" s="19" t="str">
        <x:v>Servings</x:v>
      </x:c>
      <x:c r="K4" s="19" t="str">
        <x:v>Method</x:v>
      </x:c>
      <x:c r="L4" s="19" t="str">
        <x:v>Time available</x:v>
      </x:c>
      <x:c r="M4" s="19" t="str">
        <x:v>Result</x:v>
      </x:c>
      <x:c r="N4" s="19" t="str">
        <x:v>Report sent?</x:v>
      </x:c>
      <x:c r="O4" s="19" t="str">
        <x:v>Recipe title</x:v>
      </x:c>
      <x:c r="P4" s="19" t="str">
        <x:v>Candidate / provenance</x:v>
      </x:c>
      <x:c r="Q4" s="19" t="str">
        <x:v>Idea load sec</x:v>
      </x:c>
      <x:c r="R4" s="19" t="str">
        <x:v>Cooked?</x:v>
      </x:c>
      <x:c r="S4" s="12" t="str">
        <x:v>Notes</x:v>
      </x:c>
    </x:row>
    <x:row r="5">
      <x:c r="A5" s="16" t="str">
        <x:v>TS-001</x:v>
      </x:c>
      <x:c r="B5" s="104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 t="str">
        <x:v>Not Run</x:v>
      </x:c>
      <x:c r="N5" s="16" t="str">
        <x:v>No</x:v>
      </x:c>
      <x:c r="O5" s="16"/>
      <x:c r="P5" s="16"/>
      <x:c r="Q5" s="16"/>
      <x:c r="R5" s="16" t="str">
        <x:v>No</x:v>
      </x:c>
      <x:c r="S5" s="16"/>
    </x:row>
    <x:row r="6">
      <x:c r="A6" s="17" t="str">
        <x:v>TS-002</x:v>
      </x:c>
      <x:c r="B6" s="105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 t="str">
        <x:v>Not Run</x:v>
      </x:c>
      <x:c r="N6" s="17" t="str">
        <x:v>No</x:v>
      </x:c>
      <x:c r="O6" s="17"/>
      <x:c r="P6" s="17"/>
      <x:c r="Q6" s="17"/>
      <x:c r="R6" s="17" t="str">
        <x:v>No</x:v>
      </x:c>
      <x:c r="S6" s="17"/>
    </x:row>
    <x:row r="7">
      <x:c r="A7" s="17" t="str">
        <x:v>TS-003</x:v>
      </x:c>
      <x:c r="B7" s="105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 t="str">
        <x:v>Not Run</x:v>
      </x:c>
      <x:c r="N7" s="17" t="str">
        <x:v>No</x:v>
      </x:c>
      <x:c r="O7" s="17"/>
      <x:c r="P7" s="17"/>
      <x:c r="Q7" s="17"/>
      <x:c r="R7" s="17" t="str">
        <x:v>No</x:v>
      </x:c>
      <x:c r="S7" s="17"/>
    </x:row>
    <x:row r="8">
      <x:c r="A8" s="17" t="str">
        <x:v>TS-004</x:v>
      </x:c>
      <x:c r="B8" s="105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 t="str">
        <x:v>Not Run</x:v>
      </x:c>
      <x:c r="N8" s="17" t="str">
        <x:v>No</x:v>
      </x:c>
      <x:c r="O8" s="17"/>
      <x:c r="P8" s="17"/>
      <x:c r="Q8" s="17"/>
      <x:c r="R8" s="17" t="str">
        <x:v>No</x:v>
      </x:c>
      <x:c r="S8" s="17"/>
    </x:row>
    <x:row r="9">
      <x:c r="A9" s="17" t="str">
        <x:v>TS-005</x:v>
      </x:c>
      <x:c r="B9" s="105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 t="str">
        <x:v>Not Run</x:v>
      </x:c>
      <x:c r="N9" s="17" t="str">
        <x:v>No</x:v>
      </x:c>
      <x:c r="O9" s="17"/>
      <x:c r="P9" s="17"/>
      <x:c r="Q9" s="17"/>
      <x:c r="R9" s="17" t="str">
        <x:v>No</x:v>
      </x:c>
      <x:c r="S9" s="17"/>
    </x:row>
    <x:row r="10">
      <x:c r="A10" s="17" t="str">
        <x:v>TS-006</x:v>
      </x:c>
      <x:c r="B10" s="105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 t="str">
        <x:v>Not Run</x:v>
      </x:c>
      <x:c r="N10" s="17" t="str">
        <x:v>No</x:v>
      </x:c>
      <x:c r="O10" s="17"/>
      <x:c r="P10" s="17"/>
      <x:c r="Q10" s="17"/>
      <x:c r="R10" s="17" t="str">
        <x:v>No</x:v>
      </x:c>
      <x:c r="S10" s="17"/>
    </x:row>
    <x:row r="11">
      <x:c r="A11" s="17" t="str">
        <x:v>TS-007</x:v>
      </x:c>
      <x:c r="B11" s="105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 t="str">
        <x:v>Not Run</x:v>
      </x:c>
      <x:c r="N11" s="17" t="str">
        <x:v>No</x:v>
      </x:c>
      <x:c r="O11" s="17"/>
      <x:c r="P11" s="17"/>
      <x:c r="Q11" s="17"/>
      <x:c r="R11" s="17" t="str">
        <x:v>No</x:v>
      </x:c>
      <x:c r="S11" s="17"/>
    </x:row>
    <x:row r="12">
      <x:c r="A12" s="17" t="str">
        <x:v>TS-008</x:v>
      </x:c>
      <x:c r="B12" s="105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 t="str">
        <x:v>Not Run</x:v>
      </x:c>
      <x:c r="N12" s="17" t="str">
        <x:v>No</x:v>
      </x:c>
      <x:c r="O12" s="17"/>
      <x:c r="P12" s="17"/>
      <x:c r="Q12" s="17"/>
      <x:c r="R12" s="17" t="str">
        <x:v>No</x:v>
      </x:c>
      <x:c r="S12" s="17"/>
    </x:row>
    <x:row r="13">
      <x:c r="A13" s="17" t="str">
        <x:v>TS-009</x:v>
      </x:c>
      <x:c r="B13" s="105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 t="str">
        <x:v>Not Run</x:v>
      </x:c>
      <x:c r="N13" s="17" t="str">
        <x:v>No</x:v>
      </x:c>
      <x:c r="O13" s="17"/>
      <x:c r="P13" s="17"/>
      <x:c r="Q13" s="17"/>
      <x:c r="R13" s="17" t="str">
        <x:v>No</x:v>
      </x:c>
      <x:c r="S13" s="17"/>
    </x:row>
    <x:row r="14">
      <x:c r="A14" s="17" t="str">
        <x:v>TS-010</x:v>
      </x:c>
      <x:c r="B14" s="105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 t="str">
        <x:v>Not Run</x:v>
      </x:c>
      <x:c r="N14" s="17" t="str">
        <x:v>No</x:v>
      </x:c>
      <x:c r="O14" s="17"/>
      <x:c r="P14" s="17"/>
      <x:c r="Q14" s="17"/>
      <x:c r="R14" s="17" t="str">
        <x:v>No</x:v>
      </x:c>
      <x:c r="S14" s="17"/>
    </x:row>
    <x:row r="15">
      <x:c r="A15" s="17" t="str">
        <x:v>TS-011</x:v>
      </x:c>
      <x:c r="B15" s="105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 t="str">
        <x:v>Not Run</x:v>
      </x:c>
      <x:c r="N15" s="17" t="str">
        <x:v>No</x:v>
      </x:c>
      <x:c r="O15" s="17"/>
      <x:c r="P15" s="17"/>
      <x:c r="Q15" s="17"/>
      <x:c r="R15" s="17" t="str">
        <x:v>No</x:v>
      </x:c>
      <x:c r="S15" s="17"/>
    </x:row>
    <x:row r="16">
      <x:c r="A16" s="17" t="str">
        <x:v>TS-012</x:v>
      </x:c>
      <x:c r="B16" s="105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 t="str">
        <x:v>Not Run</x:v>
      </x:c>
      <x:c r="N16" s="17" t="str">
        <x:v>No</x:v>
      </x:c>
      <x:c r="O16" s="17"/>
      <x:c r="P16" s="17"/>
      <x:c r="Q16" s="17"/>
      <x:c r="R16" s="17" t="str">
        <x:v>No</x:v>
      </x:c>
      <x:c r="S16" s="17"/>
    </x:row>
    <x:row r="17">
      <x:c r="A17" s="17" t="str">
        <x:v>TS-013</x:v>
      </x:c>
      <x:c r="B17" s="105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 t="str">
        <x:v>Not Run</x:v>
      </x:c>
      <x:c r="N17" s="17" t="str">
        <x:v>No</x:v>
      </x:c>
      <x:c r="O17" s="17"/>
      <x:c r="P17" s="17"/>
      <x:c r="Q17" s="17"/>
      <x:c r="R17" s="17" t="str">
        <x:v>No</x:v>
      </x:c>
      <x:c r="S17" s="17"/>
    </x:row>
    <x:row r="18">
      <x:c r="A18" s="17" t="str">
        <x:v>TS-014</x:v>
      </x:c>
      <x:c r="B18" s="105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 t="str">
        <x:v>Not Run</x:v>
      </x:c>
      <x:c r="N18" s="17" t="str">
        <x:v>No</x:v>
      </x:c>
      <x:c r="O18" s="17"/>
      <x:c r="P18" s="17"/>
      <x:c r="Q18" s="17"/>
      <x:c r="R18" s="17" t="str">
        <x:v>No</x:v>
      </x:c>
      <x:c r="S18" s="17"/>
    </x:row>
    <x:row r="19">
      <x:c r="A19" s="17" t="str">
        <x:v>TS-015</x:v>
      </x:c>
      <x:c r="B19" s="105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 t="str">
        <x:v>Not Run</x:v>
      </x:c>
      <x:c r="N19" s="17" t="str">
        <x:v>No</x:v>
      </x:c>
      <x:c r="O19" s="17"/>
      <x:c r="P19" s="17"/>
      <x:c r="Q19" s="17"/>
      <x:c r="R19" s="17" t="str">
        <x:v>No</x:v>
      </x:c>
      <x:c r="S19" s="17"/>
    </x:row>
    <x:row r="20">
      <x:c r="A20" s="17" t="str">
        <x:v>TS-016</x:v>
      </x:c>
      <x:c r="B20" s="105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 t="str">
        <x:v>Not Run</x:v>
      </x:c>
      <x:c r="N20" s="17" t="str">
        <x:v>No</x:v>
      </x:c>
      <x:c r="O20" s="17"/>
      <x:c r="P20" s="17"/>
      <x:c r="Q20" s="17"/>
      <x:c r="R20" s="17" t="str">
        <x:v>No</x:v>
      </x:c>
      <x:c r="S20" s="17"/>
    </x:row>
    <x:row r="21">
      <x:c r="A21" s="17" t="str">
        <x:v>TS-017</x:v>
      </x:c>
      <x:c r="B21" s="105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 t="str">
        <x:v>Not Run</x:v>
      </x:c>
      <x:c r="N21" s="17" t="str">
        <x:v>No</x:v>
      </x:c>
      <x:c r="O21" s="17"/>
      <x:c r="P21" s="17"/>
      <x:c r="Q21" s="17"/>
      <x:c r="R21" s="17" t="str">
        <x:v>No</x:v>
      </x:c>
      <x:c r="S21" s="17"/>
    </x:row>
    <x:row r="22">
      <x:c r="A22" s="17" t="str">
        <x:v>TS-018</x:v>
      </x:c>
      <x:c r="B22" s="105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 t="str">
        <x:v>Not Run</x:v>
      </x:c>
      <x:c r="N22" s="17" t="str">
        <x:v>No</x:v>
      </x:c>
      <x:c r="O22" s="17"/>
      <x:c r="P22" s="17"/>
      <x:c r="Q22" s="17"/>
      <x:c r="R22" s="17" t="str">
        <x:v>No</x:v>
      </x:c>
      <x:c r="S22" s="17"/>
    </x:row>
    <x:row r="23">
      <x:c r="A23" s="17" t="str">
        <x:v>TS-019</x:v>
      </x:c>
      <x:c r="B23" s="105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 t="str">
        <x:v>Not Run</x:v>
      </x:c>
      <x:c r="N23" s="17" t="str">
        <x:v>No</x:v>
      </x:c>
      <x:c r="O23" s="17"/>
      <x:c r="P23" s="17"/>
      <x:c r="Q23" s="17"/>
      <x:c r="R23" s="17" t="str">
        <x:v>No</x:v>
      </x:c>
      <x:c r="S23" s="17"/>
    </x:row>
    <x:row r="24">
      <x:c r="A24" s="17" t="str">
        <x:v>TS-020</x:v>
      </x:c>
      <x:c r="B24" s="105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 t="str">
        <x:v>Not Run</x:v>
      </x:c>
      <x:c r="N24" s="17" t="str">
        <x:v>No</x:v>
      </x:c>
      <x:c r="O24" s="17"/>
      <x:c r="P24" s="17"/>
      <x:c r="Q24" s="17"/>
      <x:c r="R24" s="17" t="str">
        <x:v>No</x:v>
      </x:c>
      <x:c r="S24" s="17"/>
    </x:row>
    <x:row r="25">
      <x:c r="A25" s="17" t="str">
        <x:v>TS-021</x:v>
      </x:c>
      <x:c r="B25" s="105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 t="str">
        <x:v>Not Run</x:v>
      </x:c>
      <x:c r="N25" s="17" t="str">
        <x:v>No</x:v>
      </x:c>
      <x:c r="O25" s="17"/>
      <x:c r="P25" s="17"/>
      <x:c r="Q25" s="17"/>
      <x:c r="R25" s="17" t="str">
        <x:v>No</x:v>
      </x:c>
      <x:c r="S25" s="17"/>
    </x:row>
    <x:row r="26">
      <x:c r="A26" s="17" t="str">
        <x:v>TS-022</x:v>
      </x:c>
      <x:c r="B26" s="105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 t="str">
        <x:v>Not Run</x:v>
      </x:c>
      <x:c r="N26" s="17" t="str">
        <x:v>No</x:v>
      </x:c>
      <x:c r="O26" s="17"/>
      <x:c r="P26" s="17"/>
      <x:c r="Q26" s="17"/>
      <x:c r="R26" s="17" t="str">
        <x:v>No</x:v>
      </x:c>
      <x:c r="S26" s="17"/>
    </x:row>
    <x:row r="27">
      <x:c r="A27" s="17" t="str">
        <x:v>TS-023</x:v>
      </x:c>
      <x:c r="B27" s="105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 t="str">
        <x:v>Not Run</x:v>
      </x:c>
      <x:c r="N27" s="17" t="str">
        <x:v>No</x:v>
      </x:c>
      <x:c r="O27" s="17"/>
      <x:c r="P27" s="17"/>
      <x:c r="Q27" s="17"/>
      <x:c r="R27" s="17" t="str">
        <x:v>No</x:v>
      </x:c>
      <x:c r="S27" s="17"/>
    </x:row>
    <x:row r="28">
      <x:c r="A28" s="17" t="str">
        <x:v>TS-024</x:v>
      </x:c>
      <x:c r="B28" s="105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 t="str">
        <x:v>Not Run</x:v>
      </x:c>
      <x:c r="N28" s="17" t="str">
        <x:v>No</x:v>
      </x:c>
      <x:c r="O28" s="17"/>
      <x:c r="P28" s="17"/>
      <x:c r="Q28" s="17"/>
      <x:c r="R28" s="17" t="str">
        <x:v>No</x:v>
      </x:c>
      <x:c r="S28" s="17"/>
    </x:row>
    <x:row r="29">
      <x:c r="A29" s="17" t="str">
        <x:v>TS-025</x:v>
      </x:c>
      <x:c r="B29" s="105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 t="str">
        <x:v>Not Run</x:v>
      </x:c>
      <x:c r="N29" s="17" t="str">
        <x:v>No</x:v>
      </x:c>
      <x:c r="O29" s="17"/>
      <x:c r="P29" s="17"/>
      <x:c r="Q29" s="17"/>
      <x:c r="R29" s="17" t="str">
        <x:v>No</x:v>
      </x:c>
      <x:c r="S29" s="17"/>
    </x:row>
    <x:row r="30">
      <x:c r="A30" s="17" t="str">
        <x:v>TS-026</x:v>
      </x:c>
      <x:c r="B30" s="105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 t="str">
        <x:v>Not Run</x:v>
      </x:c>
      <x:c r="N30" s="17" t="str">
        <x:v>No</x:v>
      </x:c>
      <x:c r="O30" s="17"/>
      <x:c r="P30" s="17"/>
      <x:c r="Q30" s="17"/>
      <x:c r="R30" s="17" t="str">
        <x:v>No</x:v>
      </x:c>
      <x:c r="S30" s="17"/>
    </x:row>
    <x:row r="31">
      <x:c r="A31" s="17" t="str">
        <x:v>TS-027</x:v>
      </x:c>
      <x:c r="B31" s="105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 t="str">
        <x:v>Not Run</x:v>
      </x:c>
      <x:c r="N31" s="17" t="str">
        <x:v>No</x:v>
      </x:c>
      <x:c r="O31" s="17"/>
      <x:c r="P31" s="17"/>
      <x:c r="Q31" s="17"/>
      <x:c r="R31" s="17" t="str">
        <x:v>No</x:v>
      </x:c>
      <x:c r="S31" s="17"/>
    </x:row>
    <x:row r="32">
      <x:c r="A32" s="17" t="str">
        <x:v>TS-028</x:v>
      </x:c>
      <x:c r="B32" s="105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 t="str">
        <x:v>Not Run</x:v>
      </x:c>
      <x:c r="N32" s="17" t="str">
        <x:v>No</x:v>
      </x:c>
      <x:c r="O32" s="17"/>
      <x:c r="P32" s="17"/>
      <x:c r="Q32" s="17"/>
      <x:c r="R32" s="17" t="str">
        <x:v>No</x:v>
      </x:c>
      <x:c r="S32" s="17"/>
    </x:row>
    <x:row r="33">
      <x:c r="A33" s="17" t="str">
        <x:v>TS-029</x:v>
      </x:c>
      <x:c r="B33" s="105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 t="str">
        <x:v>Not Run</x:v>
      </x:c>
      <x:c r="N33" s="17" t="str">
        <x:v>No</x:v>
      </x:c>
      <x:c r="O33" s="17"/>
      <x:c r="P33" s="17"/>
      <x:c r="Q33" s="17"/>
      <x:c r="R33" s="17" t="str">
        <x:v>No</x:v>
      </x:c>
      <x:c r="S33" s="17"/>
    </x:row>
    <x:row r="34">
      <x:c r="A34" s="17" t="str">
        <x:v>TS-030</x:v>
      </x:c>
      <x:c r="B34" s="105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 t="str">
        <x:v>Not Run</x:v>
      </x:c>
      <x:c r="N34" s="17" t="str">
        <x:v>No</x:v>
      </x:c>
      <x:c r="O34" s="17"/>
      <x:c r="P34" s="17"/>
      <x:c r="Q34" s="17"/>
      <x:c r="R34" s="17" t="str">
        <x:v>No</x:v>
      </x:c>
      <x:c r="S34" s="17"/>
    </x:row>
    <x:row r="35">
      <x:c r="A35" s="17" t="str">
        <x:v>TS-031</x:v>
      </x:c>
      <x:c r="B35" s="105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 t="str">
        <x:v>Not Run</x:v>
      </x:c>
      <x:c r="N35" s="17" t="str">
        <x:v>No</x:v>
      </x:c>
      <x:c r="O35" s="17"/>
      <x:c r="P35" s="17"/>
      <x:c r="Q35" s="17"/>
      <x:c r="R35" s="17" t="str">
        <x:v>No</x:v>
      </x:c>
      <x:c r="S35" s="17"/>
    </x:row>
    <x:row r="36">
      <x:c r="A36" s="17" t="str">
        <x:v>TS-032</x:v>
      </x:c>
      <x:c r="B36" s="105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 t="str">
        <x:v>Not Run</x:v>
      </x:c>
      <x:c r="N36" s="17" t="str">
        <x:v>No</x:v>
      </x:c>
      <x:c r="O36" s="17"/>
      <x:c r="P36" s="17"/>
      <x:c r="Q36" s="17"/>
      <x:c r="R36" s="17" t="str">
        <x:v>No</x:v>
      </x:c>
      <x:c r="S36" s="17"/>
    </x:row>
    <x:row r="37">
      <x:c r="A37" s="17" t="str">
        <x:v>TS-033</x:v>
      </x:c>
      <x:c r="B37" s="105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 t="str">
        <x:v>Not Run</x:v>
      </x:c>
      <x:c r="N37" s="17" t="str">
        <x:v>No</x:v>
      </x:c>
      <x:c r="O37" s="17"/>
      <x:c r="P37" s="17"/>
      <x:c r="Q37" s="17"/>
      <x:c r="R37" s="17" t="str">
        <x:v>No</x:v>
      </x:c>
      <x:c r="S37" s="17"/>
    </x:row>
    <x:row r="38">
      <x:c r="A38" s="17" t="str">
        <x:v>TS-034</x:v>
      </x:c>
      <x:c r="B38" s="105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 t="str">
        <x:v>Not Run</x:v>
      </x:c>
      <x:c r="N38" s="17" t="str">
        <x:v>No</x:v>
      </x:c>
      <x:c r="O38" s="17"/>
      <x:c r="P38" s="17"/>
      <x:c r="Q38" s="17"/>
      <x:c r="R38" s="17" t="str">
        <x:v>No</x:v>
      </x:c>
      <x:c r="S38" s="17"/>
    </x:row>
    <x:row r="39">
      <x:c r="A39" s="17" t="str">
        <x:v>TS-035</x:v>
      </x:c>
      <x:c r="B39" s="105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 t="str">
        <x:v>Not Run</x:v>
      </x:c>
      <x:c r="N39" s="17" t="str">
        <x:v>No</x:v>
      </x:c>
      <x:c r="O39" s="17"/>
      <x:c r="P39" s="17"/>
      <x:c r="Q39" s="17"/>
      <x:c r="R39" s="17" t="str">
        <x:v>No</x:v>
      </x:c>
      <x:c r="S39" s="17"/>
    </x:row>
    <x:row r="40">
      <x:c r="A40" s="17" t="str">
        <x:v>TS-036</x:v>
      </x:c>
      <x:c r="B40" s="105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 t="str">
        <x:v>Not Run</x:v>
      </x:c>
      <x:c r="N40" s="17" t="str">
        <x:v>No</x:v>
      </x:c>
      <x:c r="O40" s="17"/>
      <x:c r="P40" s="17"/>
      <x:c r="Q40" s="17"/>
      <x:c r="R40" s="17" t="str">
        <x:v>No</x:v>
      </x:c>
      <x:c r="S40" s="17"/>
    </x:row>
    <x:row r="41">
      <x:c r="A41" s="17" t="str">
        <x:v>TS-037</x:v>
      </x:c>
      <x:c r="B41" s="105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 t="str">
        <x:v>Not Run</x:v>
      </x:c>
      <x:c r="N41" s="17" t="str">
        <x:v>No</x:v>
      </x:c>
      <x:c r="O41" s="17"/>
      <x:c r="P41" s="17"/>
      <x:c r="Q41" s="17"/>
      <x:c r="R41" s="17" t="str">
        <x:v>No</x:v>
      </x:c>
      <x:c r="S41" s="17"/>
    </x:row>
    <x:row r="42">
      <x:c r="A42" s="17" t="str">
        <x:v>TS-038</x:v>
      </x:c>
      <x:c r="B42" s="105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 t="str">
        <x:v>Not Run</x:v>
      </x:c>
      <x:c r="N42" s="17" t="str">
        <x:v>No</x:v>
      </x:c>
      <x:c r="O42" s="17"/>
      <x:c r="P42" s="17"/>
      <x:c r="Q42" s="17"/>
      <x:c r="R42" s="17" t="str">
        <x:v>No</x:v>
      </x:c>
      <x:c r="S42" s="17"/>
    </x:row>
    <x:row r="43">
      <x:c r="A43" s="17" t="str">
        <x:v>TS-039</x:v>
      </x:c>
      <x:c r="B43" s="105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 t="str">
        <x:v>Not Run</x:v>
      </x:c>
      <x:c r="N43" s="17" t="str">
        <x:v>No</x:v>
      </x:c>
      <x:c r="O43" s="17"/>
      <x:c r="P43" s="17"/>
      <x:c r="Q43" s="17"/>
      <x:c r="R43" s="17" t="str">
        <x:v>No</x:v>
      </x:c>
      <x:c r="S43" s="17"/>
    </x:row>
    <x:row r="44">
      <x:c r="A44" s="17" t="str">
        <x:v>TS-040</x:v>
      </x:c>
      <x:c r="B44" s="105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 t="str">
        <x:v>Not Run</x:v>
      </x:c>
      <x:c r="N44" s="17" t="str">
        <x:v>No</x:v>
      </x:c>
      <x:c r="O44" s="17"/>
      <x:c r="P44" s="17"/>
      <x:c r="Q44" s="17"/>
      <x:c r="R44" s="17" t="str">
        <x:v>No</x:v>
      </x:c>
      <x:c r="S44" s="17"/>
    </x:row>
    <x:row r="45">
      <x:c r="A45" s="17" t="str">
        <x:v>TS-041</x:v>
      </x:c>
      <x:c r="B45" s="105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 t="str">
        <x:v>Not Run</x:v>
      </x:c>
      <x:c r="N45" s="17" t="str">
        <x:v>No</x:v>
      </x:c>
      <x:c r="O45" s="17"/>
      <x:c r="P45" s="17"/>
      <x:c r="Q45" s="17"/>
      <x:c r="R45" s="17" t="str">
        <x:v>No</x:v>
      </x:c>
      <x:c r="S45" s="17"/>
    </x:row>
    <x:row r="46">
      <x:c r="A46" s="17" t="str">
        <x:v>TS-042</x:v>
      </x:c>
      <x:c r="B46" s="105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 t="str">
        <x:v>Not Run</x:v>
      </x:c>
      <x:c r="N46" s="17" t="str">
        <x:v>No</x:v>
      </x:c>
      <x:c r="O46" s="17"/>
      <x:c r="P46" s="17"/>
      <x:c r="Q46" s="17"/>
      <x:c r="R46" s="17" t="str">
        <x:v>No</x:v>
      </x:c>
      <x:c r="S46" s="17"/>
    </x:row>
    <x:row r="47">
      <x:c r="A47" s="17" t="str">
        <x:v>TS-043</x:v>
      </x:c>
      <x:c r="B47" s="105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 t="str">
        <x:v>Not Run</x:v>
      </x:c>
      <x:c r="N47" s="17" t="str">
        <x:v>No</x:v>
      </x:c>
      <x:c r="O47" s="17"/>
      <x:c r="P47" s="17"/>
      <x:c r="Q47" s="17"/>
      <x:c r="R47" s="17" t="str">
        <x:v>No</x:v>
      </x:c>
      <x:c r="S47" s="17"/>
    </x:row>
    <x:row r="48">
      <x:c r="A48" s="17" t="str">
        <x:v>TS-044</x:v>
      </x:c>
      <x:c r="B48" s="105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 t="str">
        <x:v>Not Run</x:v>
      </x:c>
      <x:c r="N48" s="17" t="str">
        <x:v>No</x:v>
      </x:c>
      <x:c r="O48" s="17"/>
      <x:c r="P48" s="17"/>
      <x:c r="Q48" s="17"/>
      <x:c r="R48" s="17" t="str">
        <x:v>No</x:v>
      </x:c>
      <x:c r="S48" s="17"/>
    </x:row>
    <x:row r="49">
      <x:c r="A49" s="17" t="str">
        <x:v>TS-045</x:v>
      </x:c>
      <x:c r="B49" s="105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 t="str">
        <x:v>Not Run</x:v>
      </x:c>
      <x:c r="N49" s="17" t="str">
        <x:v>No</x:v>
      </x:c>
      <x:c r="O49" s="17"/>
      <x:c r="P49" s="17"/>
      <x:c r="Q49" s="17"/>
      <x:c r="R49" s="17" t="str">
        <x:v>No</x:v>
      </x:c>
      <x:c r="S49" s="17"/>
    </x:row>
    <x:row r="50">
      <x:c r="A50" s="17" t="str">
        <x:v>TS-046</x:v>
      </x:c>
      <x:c r="B50" s="105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 t="str">
        <x:v>Not Run</x:v>
      </x:c>
      <x:c r="N50" s="17" t="str">
        <x:v>No</x:v>
      </x:c>
      <x:c r="O50" s="17"/>
      <x:c r="P50" s="17"/>
      <x:c r="Q50" s="17"/>
      <x:c r="R50" s="17" t="str">
        <x:v>No</x:v>
      </x:c>
      <x:c r="S50" s="17"/>
    </x:row>
    <x:row r="51">
      <x:c r="A51" s="17" t="str">
        <x:v>TS-047</x:v>
      </x:c>
      <x:c r="B51" s="105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 t="str">
        <x:v>Not Run</x:v>
      </x:c>
      <x:c r="N51" s="17" t="str">
        <x:v>No</x:v>
      </x:c>
      <x:c r="O51" s="17"/>
      <x:c r="P51" s="17"/>
      <x:c r="Q51" s="17"/>
      <x:c r="R51" s="17" t="str">
        <x:v>No</x:v>
      </x:c>
      <x:c r="S51" s="17"/>
    </x:row>
    <x:row r="52">
      <x:c r="A52" s="17" t="str">
        <x:v>TS-048</x:v>
      </x:c>
      <x:c r="B52" s="105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 t="str">
        <x:v>Not Run</x:v>
      </x:c>
      <x:c r="N52" s="17" t="str">
        <x:v>No</x:v>
      </x:c>
      <x:c r="O52" s="17"/>
      <x:c r="P52" s="17"/>
      <x:c r="Q52" s="17"/>
      <x:c r="R52" s="17" t="str">
        <x:v>No</x:v>
      </x:c>
      <x:c r="S52" s="17"/>
    </x:row>
    <x:row r="53">
      <x:c r="A53" s="17" t="str">
        <x:v>TS-049</x:v>
      </x:c>
      <x:c r="B53" s="105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 t="str">
        <x:v>Not Run</x:v>
      </x:c>
      <x:c r="N53" s="17" t="str">
        <x:v>No</x:v>
      </x:c>
      <x:c r="O53" s="17"/>
      <x:c r="P53" s="17"/>
      <x:c r="Q53" s="17"/>
      <x:c r="R53" s="17" t="str">
        <x:v>No</x:v>
      </x:c>
      <x:c r="S53" s="17"/>
    </x:row>
    <x:row r="54">
      <x:c r="A54" s="17" t="str">
        <x:v>TS-050</x:v>
      </x:c>
      <x:c r="B54" s="105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 t="str">
        <x:v>Not Run</x:v>
      </x:c>
      <x:c r="N54" s="17" t="str">
        <x:v>No</x:v>
      </x:c>
      <x:c r="O54" s="17"/>
      <x:c r="P54" s="17"/>
      <x:c r="Q54" s="17"/>
      <x:c r="R54" s="17" t="str">
        <x:v>No</x:v>
      </x:c>
      <x:c r="S54" s="17"/>
    </x:row>
    <x:row r="55">
      <x:c r="A55" s="17" t="str">
        <x:v>TS-051</x:v>
      </x:c>
      <x:c r="B55" s="105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 t="str">
        <x:v>Not Run</x:v>
      </x:c>
      <x:c r="N55" s="17" t="str">
        <x:v>No</x:v>
      </x:c>
      <x:c r="O55" s="17"/>
      <x:c r="P55" s="17"/>
      <x:c r="Q55" s="17"/>
      <x:c r="R55" s="17" t="str">
        <x:v>No</x:v>
      </x:c>
      <x:c r="S55" s="17"/>
    </x:row>
    <x:row r="56">
      <x:c r="A56" s="17" t="str">
        <x:v>TS-052</x:v>
      </x:c>
      <x:c r="B56" s="105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 t="str">
        <x:v>Not Run</x:v>
      </x:c>
      <x:c r="N56" s="17" t="str">
        <x:v>No</x:v>
      </x:c>
      <x:c r="O56" s="17"/>
      <x:c r="P56" s="17"/>
      <x:c r="Q56" s="17"/>
      <x:c r="R56" s="17" t="str">
        <x:v>No</x:v>
      </x:c>
      <x:c r="S56" s="17"/>
    </x:row>
    <x:row r="57">
      <x:c r="A57" s="17" t="str">
        <x:v>TS-053</x:v>
      </x:c>
      <x:c r="B57" s="105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 t="str">
        <x:v>Not Run</x:v>
      </x:c>
      <x:c r="N57" s="17" t="str">
        <x:v>No</x:v>
      </x:c>
      <x:c r="O57" s="17"/>
      <x:c r="P57" s="17"/>
      <x:c r="Q57" s="17"/>
      <x:c r="R57" s="17" t="str">
        <x:v>No</x:v>
      </x:c>
      <x:c r="S57" s="17"/>
    </x:row>
    <x:row r="58">
      <x:c r="A58" s="17" t="str">
        <x:v>TS-054</x:v>
      </x:c>
      <x:c r="B58" s="105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 t="str">
        <x:v>Not Run</x:v>
      </x:c>
      <x:c r="N58" s="17" t="str">
        <x:v>No</x:v>
      </x:c>
      <x:c r="O58" s="17"/>
      <x:c r="P58" s="17"/>
      <x:c r="Q58" s="17"/>
      <x:c r="R58" s="17" t="str">
        <x:v>No</x:v>
      </x:c>
      <x:c r="S58" s="17"/>
    </x:row>
    <x:row r="59">
      <x:c r="A59" s="17" t="str">
        <x:v>TS-055</x:v>
      </x:c>
      <x:c r="B59" s="105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 t="str">
        <x:v>Not Run</x:v>
      </x:c>
      <x:c r="N59" s="17" t="str">
        <x:v>No</x:v>
      </x:c>
      <x:c r="O59" s="17"/>
      <x:c r="P59" s="17"/>
      <x:c r="Q59" s="17"/>
      <x:c r="R59" s="17" t="str">
        <x:v>No</x:v>
      </x:c>
      <x:c r="S59" s="17"/>
    </x:row>
    <x:row r="60">
      <x:c r="A60" s="17" t="str">
        <x:v>TS-056</x:v>
      </x:c>
      <x:c r="B60" s="105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 t="str">
        <x:v>Not Run</x:v>
      </x:c>
      <x:c r="N60" s="17" t="str">
        <x:v>No</x:v>
      </x:c>
      <x:c r="O60" s="17"/>
      <x:c r="P60" s="17"/>
      <x:c r="Q60" s="17"/>
      <x:c r="R60" s="17" t="str">
        <x:v>No</x:v>
      </x:c>
      <x:c r="S60" s="17"/>
    </x:row>
    <x:row r="61">
      <x:c r="A61" s="17" t="str">
        <x:v>TS-057</x:v>
      </x:c>
      <x:c r="B61" s="105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 t="str">
        <x:v>Not Run</x:v>
      </x:c>
      <x:c r="N61" s="17" t="str">
        <x:v>No</x:v>
      </x:c>
      <x:c r="O61" s="17"/>
      <x:c r="P61" s="17"/>
      <x:c r="Q61" s="17"/>
      <x:c r="R61" s="17" t="str">
        <x:v>No</x:v>
      </x:c>
      <x:c r="S61" s="17"/>
    </x:row>
    <x:row r="62">
      <x:c r="A62" s="17" t="str">
        <x:v>TS-058</x:v>
      </x:c>
      <x:c r="B62" s="105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 t="str">
        <x:v>Not Run</x:v>
      </x:c>
      <x:c r="N62" s="17" t="str">
        <x:v>No</x:v>
      </x:c>
      <x:c r="O62" s="17"/>
      <x:c r="P62" s="17"/>
      <x:c r="Q62" s="17"/>
      <x:c r="R62" s="17" t="str">
        <x:v>No</x:v>
      </x:c>
      <x:c r="S62" s="17"/>
    </x:row>
    <x:row r="63">
      <x:c r="A63" s="17" t="str">
        <x:v>TS-059</x:v>
      </x:c>
      <x:c r="B63" s="105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 t="str">
        <x:v>Not Run</x:v>
      </x:c>
      <x:c r="N63" s="17" t="str">
        <x:v>No</x:v>
      </x:c>
      <x:c r="O63" s="17"/>
      <x:c r="P63" s="17"/>
      <x:c r="Q63" s="17"/>
      <x:c r="R63" s="17" t="str">
        <x:v>No</x:v>
      </x:c>
      <x:c r="S63" s="17"/>
    </x:row>
    <x:row r="64">
      <x:c r="A64" s="17" t="str">
        <x:v>TS-060</x:v>
      </x:c>
      <x:c r="B64" s="105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 t="str">
        <x:v>Not Run</x:v>
      </x:c>
      <x:c r="N64" s="17" t="str">
        <x:v>No</x:v>
      </x:c>
      <x:c r="O64" s="17"/>
      <x:c r="P64" s="17"/>
      <x:c r="Q64" s="17"/>
      <x:c r="R64" s="17" t="str">
        <x:v>No</x:v>
      </x:c>
      <x:c r="S64" s="17"/>
    </x:row>
    <x:row r="65">
      <x:c r="A65" s="17" t="str">
        <x:v>TS-061</x:v>
      </x:c>
      <x:c r="B65" s="105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 t="str">
        <x:v>Not Run</x:v>
      </x:c>
      <x:c r="N65" s="17" t="str">
        <x:v>No</x:v>
      </x:c>
      <x:c r="O65" s="17"/>
      <x:c r="P65" s="17"/>
      <x:c r="Q65" s="17"/>
      <x:c r="R65" s="17" t="str">
        <x:v>No</x:v>
      </x:c>
      <x:c r="S65" s="17"/>
    </x:row>
    <x:row r="66">
      <x:c r="A66" s="17" t="str">
        <x:v>TS-062</x:v>
      </x:c>
      <x:c r="B66" s="105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 t="str">
        <x:v>Not Run</x:v>
      </x:c>
      <x:c r="N66" s="17" t="str">
        <x:v>No</x:v>
      </x:c>
      <x:c r="O66" s="17"/>
      <x:c r="P66" s="17"/>
      <x:c r="Q66" s="17"/>
      <x:c r="R66" s="17" t="str">
        <x:v>No</x:v>
      </x:c>
      <x:c r="S66" s="17"/>
    </x:row>
    <x:row r="67">
      <x:c r="A67" s="17" t="str">
        <x:v>TS-063</x:v>
      </x:c>
      <x:c r="B67" s="105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 t="str">
        <x:v>Not Run</x:v>
      </x:c>
      <x:c r="N67" s="17" t="str">
        <x:v>No</x:v>
      </x:c>
      <x:c r="O67" s="17"/>
      <x:c r="P67" s="17"/>
      <x:c r="Q67" s="17"/>
      <x:c r="R67" s="17" t="str">
        <x:v>No</x:v>
      </x:c>
      <x:c r="S67" s="17"/>
    </x:row>
    <x:row r="68">
      <x:c r="A68" s="17" t="str">
        <x:v>TS-064</x:v>
      </x:c>
      <x:c r="B68" s="105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 t="str">
        <x:v>Not Run</x:v>
      </x:c>
      <x:c r="N68" s="17" t="str">
        <x:v>No</x:v>
      </x:c>
      <x:c r="O68" s="17"/>
      <x:c r="P68" s="17"/>
      <x:c r="Q68" s="17"/>
      <x:c r="R68" s="17" t="str">
        <x:v>No</x:v>
      </x:c>
      <x:c r="S68" s="17"/>
    </x:row>
    <x:row r="69">
      <x:c r="A69" s="17" t="str">
        <x:v>TS-065</x:v>
      </x:c>
      <x:c r="B69" s="105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 t="str">
        <x:v>Not Run</x:v>
      </x:c>
      <x:c r="N69" s="17" t="str">
        <x:v>No</x:v>
      </x:c>
      <x:c r="O69" s="17"/>
      <x:c r="P69" s="17"/>
      <x:c r="Q69" s="17"/>
      <x:c r="R69" s="17" t="str">
        <x:v>No</x:v>
      </x:c>
      <x:c r="S69" s="17"/>
    </x:row>
    <x:row r="70">
      <x:c r="A70" s="17" t="str">
        <x:v>TS-066</x:v>
      </x:c>
      <x:c r="B70" s="105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 t="str">
        <x:v>Not Run</x:v>
      </x:c>
      <x:c r="N70" s="17" t="str">
        <x:v>No</x:v>
      </x:c>
      <x:c r="O70" s="17"/>
      <x:c r="P70" s="17"/>
      <x:c r="Q70" s="17"/>
      <x:c r="R70" s="17" t="str">
        <x:v>No</x:v>
      </x:c>
      <x:c r="S70" s="17"/>
    </x:row>
    <x:row r="71">
      <x:c r="A71" s="17" t="str">
        <x:v>TS-067</x:v>
      </x:c>
      <x:c r="B71" s="105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 t="str">
        <x:v>Not Run</x:v>
      </x:c>
      <x:c r="N71" s="17" t="str">
        <x:v>No</x:v>
      </x:c>
      <x:c r="O71" s="17"/>
      <x:c r="P71" s="17"/>
      <x:c r="Q71" s="17"/>
      <x:c r="R71" s="17" t="str">
        <x:v>No</x:v>
      </x:c>
      <x:c r="S71" s="17"/>
    </x:row>
    <x:row r="72">
      <x:c r="A72" s="17" t="str">
        <x:v>TS-068</x:v>
      </x:c>
      <x:c r="B72" s="105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 t="str">
        <x:v>Not Run</x:v>
      </x:c>
      <x:c r="N72" s="17" t="str">
        <x:v>No</x:v>
      </x:c>
      <x:c r="O72" s="17"/>
      <x:c r="P72" s="17"/>
      <x:c r="Q72" s="17"/>
      <x:c r="R72" s="17" t="str">
        <x:v>No</x:v>
      </x:c>
      <x:c r="S72" s="17"/>
    </x:row>
    <x:row r="73">
      <x:c r="A73" s="17" t="str">
        <x:v>TS-069</x:v>
      </x:c>
      <x:c r="B73" s="105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 t="str">
        <x:v>Not Run</x:v>
      </x:c>
      <x:c r="N73" s="17" t="str">
        <x:v>No</x:v>
      </x:c>
      <x:c r="O73" s="17"/>
      <x:c r="P73" s="17"/>
      <x:c r="Q73" s="17"/>
      <x:c r="R73" s="17" t="str">
        <x:v>No</x:v>
      </x:c>
      <x:c r="S73" s="17"/>
    </x:row>
    <x:row r="74">
      <x:c r="A74" s="17" t="str">
        <x:v>TS-070</x:v>
      </x:c>
      <x:c r="B74" s="105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 t="str">
        <x:v>Not Run</x:v>
      </x:c>
      <x:c r="N74" s="17" t="str">
        <x:v>No</x:v>
      </x:c>
      <x:c r="O74" s="17"/>
      <x:c r="P74" s="17"/>
      <x:c r="Q74" s="17"/>
      <x:c r="R74" s="17" t="str">
        <x:v>No</x:v>
      </x:c>
      <x:c r="S74" s="17"/>
    </x:row>
    <x:row r="75">
      <x:c r="A75" s="17" t="str">
        <x:v>TS-071</x:v>
      </x:c>
      <x:c r="B75" s="105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 t="str">
        <x:v>Not Run</x:v>
      </x:c>
      <x:c r="N75" s="17" t="str">
        <x:v>No</x:v>
      </x:c>
      <x:c r="O75" s="17"/>
      <x:c r="P75" s="17"/>
      <x:c r="Q75" s="17"/>
      <x:c r="R75" s="17" t="str">
        <x:v>No</x:v>
      </x:c>
      <x:c r="S75" s="17"/>
    </x:row>
    <x:row r="76">
      <x:c r="A76" s="17" t="str">
        <x:v>TS-072</x:v>
      </x:c>
      <x:c r="B76" s="105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 t="str">
        <x:v>Not Run</x:v>
      </x:c>
      <x:c r="N76" s="17" t="str">
        <x:v>No</x:v>
      </x:c>
      <x:c r="O76" s="17"/>
      <x:c r="P76" s="17"/>
      <x:c r="Q76" s="17"/>
      <x:c r="R76" s="17" t="str">
        <x:v>No</x:v>
      </x:c>
      <x:c r="S76" s="17"/>
    </x:row>
    <x:row r="77">
      <x:c r="A77" s="17" t="str">
        <x:v>TS-073</x:v>
      </x:c>
      <x:c r="B77" s="105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 t="str">
        <x:v>Not Run</x:v>
      </x:c>
      <x:c r="N77" s="17" t="str">
        <x:v>No</x:v>
      </x:c>
      <x:c r="O77" s="17"/>
      <x:c r="P77" s="17"/>
      <x:c r="Q77" s="17"/>
      <x:c r="R77" s="17" t="str">
        <x:v>No</x:v>
      </x:c>
      <x:c r="S77" s="17"/>
    </x:row>
    <x:row r="78">
      <x:c r="A78" s="17" t="str">
        <x:v>TS-074</x:v>
      </x:c>
      <x:c r="B78" s="105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 t="str">
        <x:v>Not Run</x:v>
      </x:c>
      <x:c r="N78" s="17" t="str">
        <x:v>No</x:v>
      </x:c>
      <x:c r="O78" s="17"/>
      <x:c r="P78" s="17"/>
      <x:c r="Q78" s="17"/>
      <x:c r="R78" s="17" t="str">
        <x:v>No</x:v>
      </x:c>
      <x:c r="S78" s="17"/>
    </x:row>
    <x:row r="79">
      <x:c r="A79" s="17" t="str">
        <x:v>TS-075</x:v>
      </x:c>
      <x:c r="B79" s="105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 t="str">
        <x:v>Not Run</x:v>
      </x:c>
      <x:c r="N79" s="17" t="str">
        <x:v>No</x:v>
      </x:c>
      <x:c r="O79" s="17"/>
      <x:c r="P79" s="17"/>
      <x:c r="Q79" s="17"/>
      <x:c r="R79" s="17" t="str">
        <x:v>No</x:v>
      </x:c>
      <x:c r="S79" s="17"/>
    </x:row>
    <x:row r="80">
      <x:c r="A80" s="17" t="str">
        <x:v>TS-076</x:v>
      </x:c>
      <x:c r="B80" s="105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 t="str">
        <x:v>Not Run</x:v>
      </x:c>
      <x:c r="N80" s="17" t="str">
        <x:v>No</x:v>
      </x:c>
      <x:c r="O80" s="17"/>
      <x:c r="P80" s="17"/>
      <x:c r="Q80" s="17"/>
      <x:c r="R80" s="17" t="str">
        <x:v>No</x:v>
      </x:c>
      <x:c r="S80" s="17"/>
    </x:row>
    <x:row r="81">
      <x:c r="A81" s="17" t="str">
        <x:v>TS-077</x:v>
      </x:c>
      <x:c r="B81" s="105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 t="str">
        <x:v>Not Run</x:v>
      </x:c>
      <x:c r="N81" s="17" t="str">
        <x:v>No</x:v>
      </x:c>
      <x:c r="O81" s="17"/>
      <x:c r="P81" s="17"/>
      <x:c r="Q81" s="17"/>
      <x:c r="R81" s="17" t="str">
        <x:v>No</x:v>
      </x:c>
      <x:c r="S81" s="17"/>
    </x:row>
    <x:row r="82">
      <x:c r="A82" s="17" t="str">
        <x:v>TS-078</x:v>
      </x:c>
      <x:c r="B82" s="105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 t="str">
        <x:v>Not Run</x:v>
      </x:c>
      <x:c r="N82" s="17" t="str">
        <x:v>No</x:v>
      </x:c>
      <x:c r="O82" s="17"/>
      <x:c r="P82" s="17"/>
      <x:c r="Q82" s="17"/>
      <x:c r="R82" s="17" t="str">
        <x:v>No</x:v>
      </x:c>
      <x:c r="S82" s="17"/>
    </x:row>
    <x:row r="83">
      <x:c r="A83" s="17" t="str">
        <x:v>TS-079</x:v>
      </x:c>
      <x:c r="B83" s="105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 t="str">
        <x:v>Not Run</x:v>
      </x:c>
      <x:c r="N83" s="17" t="str">
        <x:v>No</x:v>
      </x:c>
      <x:c r="O83" s="17"/>
      <x:c r="P83" s="17"/>
      <x:c r="Q83" s="17"/>
      <x:c r="R83" s="17" t="str">
        <x:v>No</x:v>
      </x:c>
      <x:c r="S83" s="17"/>
    </x:row>
    <x:row r="84">
      <x:c r="A84" s="17" t="str">
        <x:v>TS-080</x:v>
      </x:c>
      <x:c r="B84" s="105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 t="str">
        <x:v>Not Run</x:v>
      </x:c>
      <x:c r="N84" s="17" t="str">
        <x:v>No</x:v>
      </x:c>
      <x:c r="O84" s="17"/>
      <x:c r="P84" s="17"/>
      <x:c r="Q84" s="17"/>
      <x:c r="R84" s="17" t="str">
        <x:v>No</x:v>
      </x:c>
      <x:c r="S84" s="17"/>
    </x:row>
    <x:row r="85">
      <x:c r="A85" s="17" t="str">
        <x:v>TS-081</x:v>
      </x:c>
      <x:c r="B85" s="105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 t="str">
        <x:v>Not Run</x:v>
      </x:c>
      <x:c r="N85" s="17" t="str">
        <x:v>No</x:v>
      </x:c>
      <x:c r="O85" s="17"/>
      <x:c r="P85" s="17"/>
      <x:c r="Q85" s="17"/>
      <x:c r="R85" s="17" t="str">
        <x:v>No</x:v>
      </x:c>
      <x:c r="S85" s="17"/>
    </x:row>
    <x:row r="86">
      <x:c r="A86" s="17" t="str">
        <x:v>TS-082</x:v>
      </x:c>
      <x:c r="B86" s="105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 t="str">
        <x:v>Not Run</x:v>
      </x:c>
      <x:c r="N86" s="17" t="str">
        <x:v>No</x:v>
      </x:c>
      <x:c r="O86" s="17"/>
      <x:c r="P86" s="17"/>
      <x:c r="Q86" s="17"/>
      <x:c r="R86" s="17" t="str">
        <x:v>No</x:v>
      </x:c>
      <x:c r="S86" s="17"/>
    </x:row>
    <x:row r="87">
      <x:c r="A87" s="17" t="str">
        <x:v>TS-083</x:v>
      </x:c>
      <x:c r="B87" s="105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 t="str">
        <x:v>Not Run</x:v>
      </x:c>
      <x:c r="N87" s="17" t="str">
        <x:v>No</x:v>
      </x:c>
      <x:c r="O87" s="17"/>
      <x:c r="P87" s="17"/>
      <x:c r="Q87" s="17"/>
      <x:c r="R87" s="17" t="str">
        <x:v>No</x:v>
      </x:c>
      <x:c r="S87" s="17"/>
    </x:row>
    <x:row r="88">
      <x:c r="A88" s="17" t="str">
        <x:v>TS-084</x:v>
      </x:c>
      <x:c r="B88" s="105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 t="str">
        <x:v>Not Run</x:v>
      </x:c>
      <x:c r="N88" s="17" t="str">
        <x:v>No</x:v>
      </x:c>
      <x:c r="O88" s="17"/>
      <x:c r="P88" s="17"/>
      <x:c r="Q88" s="17"/>
      <x:c r="R88" s="17" t="str">
        <x:v>No</x:v>
      </x:c>
      <x:c r="S88" s="17"/>
    </x:row>
    <x:row r="89">
      <x:c r="A89" s="17" t="str">
        <x:v>TS-085</x:v>
      </x:c>
      <x:c r="B89" s="105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 t="str">
        <x:v>Not Run</x:v>
      </x:c>
      <x:c r="N89" s="17" t="str">
        <x:v>No</x:v>
      </x:c>
      <x:c r="O89" s="17"/>
      <x:c r="P89" s="17"/>
      <x:c r="Q89" s="17"/>
      <x:c r="R89" s="17" t="str">
        <x:v>No</x:v>
      </x:c>
      <x:c r="S89" s="17"/>
    </x:row>
    <x:row r="90">
      <x:c r="A90" s="17" t="str">
        <x:v>TS-086</x:v>
      </x:c>
      <x:c r="B90" s="105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 t="str">
        <x:v>Not Run</x:v>
      </x:c>
      <x:c r="N90" s="17" t="str">
        <x:v>No</x:v>
      </x:c>
      <x:c r="O90" s="17"/>
      <x:c r="P90" s="17"/>
      <x:c r="Q90" s="17"/>
      <x:c r="R90" s="17" t="str">
        <x:v>No</x:v>
      </x:c>
      <x:c r="S90" s="17"/>
    </x:row>
    <x:row r="91">
      <x:c r="A91" s="17" t="str">
        <x:v>TS-087</x:v>
      </x:c>
      <x:c r="B91" s="105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 t="str">
        <x:v>Not Run</x:v>
      </x:c>
      <x:c r="N91" s="17" t="str">
        <x:v>No</x:v>
      </x:c>
      <x:c r="O91" s="17"/>
      <x:c r="P91" s="17"/>
      <x:c r="Q91" s="17"/>
      <x:c r="R91" s="17" t="str">
        <x:v>No</x:v>
      </x:c>
      <x:c r="S91" s="17"/>
    </x:row>
    <x:row r="92">
      <x:c r="A92" s="17" t="str">
        <x:v>TS-088</x:v>
      </x:c>
      <x:c r="B92" s="105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 t="str">
        <x:v>Not Run</x:v>
      </x:c>
      <x:c r="N92" s="17" t="str">
        <x:v>No</x:v>
      </x:c>
      <x:c r="O92" s="17"/>
      <x:c r="P92" s="17"/>
      <x:c r="Q92" s="17"/>
      <x:c r="R92" s="17" t="str">
        <x:v>No</x:v>
      </x:c>
      <x:c r="S92" s="17"/>
    </x:row>
    <x:row r="93">
      <x:c r="A93" s="17" t="str">
        <x:v>TS-089</x:v>
      </x:c>
      <x:c r="B93" s="105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 t="str">
        <x:v>Not Run</x:v>
      </x:c>
      <x:c r="N93" s="17" t="str">
        <x:v>No</x:v>
      </x:c>
      <x:c r="O93" s="17"/>
      <x:c r="P93" s="17"/>
      <x:c r="Q93" s="17"/>
      <x:c r="R93" s="17" t="str">
        <x:v>No</x:v>
      </x:c>
      <x:c r="S93" s="17"/>
    </x:row>
    <x:row r="94">
      <x:c r="A94" s="17" t="str">
        <x:v>TS-090</x:v>
      </x:c>
      <x:c r="B94" s="105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 t="str">
        <x:v>Not Run</x:v>
      </x:c>
      <x:c r="N94" s="17" t="str">
        <x:v>No</x:v>
      </x:c>
      <x:c r="O94" s="17"/>
      <x:c r="P94" s="17"/>
      <x:c r="Q94" s="17"/>
      <x:c r="R94" s="17" t="str">
        <x:v>No</x:v>
      </x:c>
      <x:c r="S94" s="17"/>
    </x:row>
    <x:row r="95">
      <x:c r="A95" s="17" t="str">
        <x:v>TS-091</x:v>
      </x:c>
      <x:c r="B95" s="105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 t="str">
        <x:v>Not Run</x:v>
      </x:c>
      <x:c r="N95" s="17" t="str">
        <x:v>No</x:v>
      </x:c>
      <x:c r="O95" s="17"/>
      <x:c r="P95" s="17"/>
      <x:c r="Q95" s="17"/>
      <x:c r="R95" s="17" t="str">
        <x:v>No</x:v>
      </x:c>
      <x:c r="S95" s="17"/>
    </x:row>
    <x:row r="96">
      <x:c r="A96" s="17" t="str">
        <x:v>TS-092</x:v>
      </x:c>
      <x:c r="B96" s="105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 t="str">
        <x:v>Not Run</x:v>
      </x:c>
      <x:c r="N96" s="17" t="str">
        <x:v>No</x:v>
      </x:c>
      <x:c r="O96" s="17"/>
      <x:c r="P96" s="17"/>
      <x:c r="Q96" s="17"/>
      <x:c r="R96" s="17" t="str">
        <x:v>No</x:v>
      </x:c>
      <x:c r="S96" s="17"/>
    </x:row>
    <x:row r="97">
      <x:c r="A97" s="17" t="str">
        <x:v>TS-093</x:v>
      </x:c>
      <x:c r="B97" s="105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 t="str">
        <x:v>Not Run</x:v>
      </x:c>
      <x:c r="N97" s="17" t="str">
        <x:v>No</x:v>
      </x:c>
      <x:c r="O97" s="17"/>
      <x:c r="P97" s="17"/>
      <x:c r="Q97" s="17"/>
      <x:c r="R97" s="17" t="str">
        <x:v>No</x:v>
      </x:c>
      <x:c r="S97" s="17"/>
    </x:row>
    <x:row r="98">
      <x:c r="A98" s="17" t="str">
        <x:v>TS-094</x:v>
      </x:c>
      <x:c r="B98" s="105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 t="str">
        <x:v>Not Run</x:v>
      </x:c>
      <x:c r="N98" s="17" t="str">
        <x:v>No</x:v>
      </x:c>
      <x:c r="O98" s="17"/>
      <x:c r="P98" s="17"/>
      <x:c r="Q98" s="17"/>
      <x:c r="R98" s="17" t="str">
        <x:v>No</x:v>
      </x:c>
      <x:c r="S98" s="17"/>
    </x:row>
    <x:row r="99">
      <x:c r="A99" s="17" t="str">
        <x:v>TS-095</x:v>
      </x:c>
      <x:c r="B99" s="105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 t="str">
        <x:v>Not Run</x:v>
      </x:c>
      <x:c r="N99" s="17" t="str">
        <x:v>No</x:v>
      </x:c>
      <x:c r="O99" s="17"/>
      <x:c r="P99" s="17"/>
      <x:c r="Q99" s="17"/>
      <x:c r="R99" s="17" t="str">
        <x:v>No</x:v>
      </x:c>
      <x:c r="S99" s="17"/>
    </x:row>
    <x:row r="100">
      <x:c r="A100" s="17" t="str">
        <x:v>TS-096</x:v>
      </x:c>
      <x:c r="B100" s="105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 t="str">
        <x:v>Not Run</x:v>
      </x:c>
      <x:c r="N100" s="17" t="str">
        <x:v>No</x:v>
      </x:c>
      <x:c r="O100" s="17"/>
      <x:c r="P100" s="17"/>
      <x:c r="Q100" s="17"/>
      <x:c r="R100" s="17" t="str">
        <x:v>No</x:v>
      </x:c>
      <x:c r="S100" s="17"/>
    </x:row>
    <x:row r="101">
      <x:c r="A101" s="17" t="str">
        <x:v>TS-097</x:v>
      </x:c>
      <x:c r="B101" s="105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 t="str">
        <x:v>Not Run</x:v>
      </x:c>
      <x:c r="N101" s="17" t="str">
        <x:v>No</x:v>
      </x:c>
      <x:c r="O101" s="17"/>
      <x:c r="P101" s="17"/>
      <x:c r="Q101" s="17"/>
      <x:c r="R101" s="17" t="str">
        <x:v>No</x:v>
      </x:c>
      <x:c r="S101" s="17"/>
    </x:row>
    <x:row r="102">
      <x:c r="A102" s="17" t="str">
        <x:v>TS-098</x:v>
      </x:c>
      <x:c r="B102" s="105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 t="str">
        <x:v>Not Run</x:v>
      </x:c>
      <x:c r="N102" s="17" t="str">
        <x:v>No</x:v>
      </x:c>
      <x:c r="O102" s="17"/>
      <x:c r="P102" s="17"/>
      <x:c r="Q102" s="17"/>
      <x:c r="R102" s="17" t="str">
        <x:v>No</x:v>
      </x:c>
      <x:c r="S102" s="17"/>
    </x:row>
    <x:row r="103">
      <x:c r="A103" s="17" t="str">
        <x:v>TS-099</x:v>
      </x:c>
      <x:c r="B103" s="105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 t="str">
        <x:v>Not Run</x:v>
      </x:c>
      <x:c r="N103" s="17" t="str">
        <x:v>No</x:v>
      </x:c>
      <x:c r="O103" s="17"/>
      <x:c r="P103" s="17"/>
      <x:c r="Q103" s="17"/>
      <x:c r="R103" s="17" t="str">
        <x:v>No</x:v>
      </x:c>
      <x:c r="S103" s="17"/>
    </x:row>
    <x:row r="104">
      <x:c r="A104" s="18" t="str">
        <x:v>TS-100</x:v>
      </x:c>
      <x:c r="B104" s="106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 t="str">
        <x:v>Not Run</x:v>
      </x:c>
      <x:c r="N104" s="18" t="str">
        <x:v>No</x:v>
      </x:c>
      <x:c r="O104" s="18"/>
      <x:c r="P104" s="18"/>
      <x:c r="Q104" s="18"/>
      <x:c r="R104" s="18" t="str">
        <x:v>No</x:v>
      </x:c>
      <x:c r="S104" s="18"/>
    </x:row>
  </x:sheetData>
  <x:mergeCells>
    <x:mergeCell ref="A1:S1"/>
    <x:mergeCell ref="A2:S2"/>
  </x:mergeCells>
  <x:conditionalFormatting sqref="M5:M104">
    <x:cfRule type="containsText" dxfId="0" priority="1" operator="containsText" text="OK"/>
    <x:cfRule type="containsText" dxfId="1" priority="2" operator="containsText" text="NG"/>
    <x:cfRule type="containsText" dxfId="2" priority="3" operator="containsText" text="Blocked"/>
  </x:conditionalFormatting>
  <x:dataValidations count="5">
    <x:dataValidation type="list" sqref="H5:H104">
      <x:formula1>"Give Me Meal Ideas,Help Me Build My Meal,Signature Recipe"</x:formula1>
    </x:dataValidation>
    <x:dataValidation type="list" sqref="I5:I104">
      <x:formula1>"Very Low,Low,Moderate,High"</x:formula1>
    </x:dataValidation>
    <x:dataValidation type="list" sqref="M5:M104">
      <x:formula1>"Not Run,OK,NG,Blocked"</x:formula1>
    </x:dataValidation>
    <x:dataValidation type="list" sqref="N5:N104">
      <x:formula1>"No,Yes"</x:formula1>
    </x:dataValidation>
    <x:dataValidation type="list" sqref="R5:R104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22" hidden="0" customWidth="1"/>
    <x:col min="7" max="7" width="14" hidden="0" customWidth="1"/>
    <x:col min="8" max="8" width="10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8" hidden="0" customWidth="1"/>
    <x:col min="16" max="16" width="16" hidden="0" customWidth="1"/>
    <x:col min="17" max="17" width="10" hidden="0" customWidth="1"/>
    <x:col min="18" max="18" width="26" hidden="0" customWidth="1"/>
    <x:col min="19" max="19" width="18" hidden="0" customWidth="1"/>
    <x:col min="20" max="20" width="16" hidden="0" customWidth="1"/>
    <x:col min="21" max="21" width="16" hidden="0" customWidth="1"/>
    <x:col min="22" max="22" width="44" hidden="0" customWidth="1"/>
  </x:cols>
  <x:sheetData>
    <x:row r="1" ht="36" customHeight="1">
      <x:c r="A1" s="3" t="str">
        <x:v>Recipe Reviews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6" t="str">
        <x:v>Detailed evidence for both OK and NG recipes. Link every NG review to the submitted report.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4" ht="32" customHeight="1">
      <x:c r="A4" s="11" t="str">
        <x:v>Review ID</x:v>
      </x:c>
      <x:c r="B4" s="19" t="str">
        <x:v>Test ID</x:v>
      </x:c>
      <x:c r="C4" s="19" t="str">
        <x:v>Date</x:v>
      </x:c>
      <x:c r="D4" s="19" t="str">
        <x:v>Recipe title</x:v>
      </x:c>
      <x:c r="E4" s="19" t="str">
        <x:v>Build ID</x:v>
      </x:c>
      <x:c r="F4" s="19" t="str">
        <x:v>Provenance</x:v>
      </x:c>
      <x:c r="G4" s="19" t="str">
        <x:v>Outcome</x:v>
      </x:c>
      <x:c r="H4" s="19" t="str">
        <x:v>Severity</x:v>
      </x:c>
      <x:c r="I4" s="19" t="str">
        <x:v>Wrong ingredients</x:v>
      </x:c>
      <x:c r="J4" s="19" t="str">
        <x:v>Weird instructions</x:v>
      </x:c>
      <x:c r="K4" s="19" t="str">
        <x:v>Uncookable</x:v>
      </x:c>
      <x:c r="L4" s="19" t="str">
        <x:v>Timing / effort</x:v>
      </x:c>
      <x:c r="M4" s="19" t="str">
        <x:v>Quantity wrong</x:v>
      </x:c>
      <x:c r="N4" s="19" t="str">
        <x:v>Safety concern</x:v>
      </x:c>
      <x:c r="O4" s="19" t="str">
        <x:v>Inventory mismatch</x:v>
      </x:c>
      <x:c r="P4" s="19" t="str">
        <x:v>Grocery mismatch</x:v>
      </x:c>
      <x:c r="Q4" s="19" t="str">
        <x:v>Cooked?</x:v>
      </x:c>
      <x:c r="R4" s="19" t="str">
        <x:v>Cooking result</x:v>
      </x:c>
      <x:c r="S4" s="19" t="str">
        <x:v>Report ID</x:v>
      </x:c>
      <x:c r="T4" s="19" t="str">
        <x:v>Status</x:v>
      </x:c>
      <x:c r="U4" s="19" t="str">
        <x:v>Owner</x:v>
      </x:c>
      <x:c r="V4" s="12" t="str">
        <x:v>Notes</x:v>
      </x:c>
    </x:row>
    <x:row r="5">
      <x:c r="A5" s="16" t="str">
        <x:v>RR-001</x:v>
      </x:c>
      <x:c r="B5" s="16"/>
      <x:c r="C5" s="104"/>
      <x:c r="D5" s="16"/>
      <x:c r="E5" s="16"/>
      <x:c r="F5" s="16"/>
      <x:c r="G5" s="16" t="str">
        <x:v>Not Reviewed</x:v>
      </x:c>
      <x:c r="H5" s="16" t="str">
        <x:v>P2</x:v>
      </x:c>
      <x:c r="I5" s="16" t="str">
        <x:v>No</x:v>
      </x:c>
      <x:c r="J5" s="16" t="str">
        <x:v>No</x:v>
      </x:c>
      <x:c r="K5" s="16" t="str">
        <x:v>No</x:v>
      </x:c>
      <x:c r="L5" s="16" t="str">
        <x:v>No</x:v>
      </x:c>
      <x:c r="M5" s="16" t="str">
        <x:v>No</x:v>
      </x:c>
      <x:c r="N5" s="16" t="str">
        <x:v>No</x:v>
      </x:c>
      <x:c r="O5" s="16" t="str">
        <x:v>No</x:v>
      </x:c>
      <x:c r="P5" s="16" t="str">
        <x:v>No</x:v>
      </x:c>
      <x:c r="Q5" s="16" t="str">
        <x:v>No</x:v>
      </x:c>
      <x:c r="R5" s="16"/>
      <x:c r="S5" s="16"/>
      <x:c r="T5" s="16" t="str">
        <x:v>Open</x:v>
      </x:c>
      <x:c r="U5" s="16"/>
      <x:c r="V5" s="16"/>
    </x:row>
    <x:row r="6">
      <x:c r="A6" s="17" t="str">
        <x:v>RR-002</x:v>
      </x:c>
      <x:c r="B6" s="17"/>
      <x:c r="C6" s="105"/>
      <x:c r="D6" s="17"/>
      <x:c r="E6" s="17"/>
      <x:c r="F6" s="17"/>
      <x:c r="G6" s="17" t="str">
        <x:v>Not Reviewed</x:v>
      </x:c>
      <x:c r="H6" s="17" t="str">
        <x:v>P2</x:v>
      </x:c>
      <x:c r="I6" s="17" t="str">
        <x:v>No</x:v>
      </x:c>
      <x:c r="J6" s="17" t="str">
        <x:v>No</x:v>
      </x:c>
      <x:c r="K6" s="17" t="str">
        <x:v>No</x:v>
      </x:c>
      <x:c r="L6" s="17" t="str">
        <x:v>No</x:v>
      </x:c>
      <x:c r="M6" s="17" t="str">
        <x:v>No</x:v>
      </x:c>
      <x:c r="N6" s="17" t="str">
        <x:v>No</x:v>
      </x:c>
      <x:c r="O6" s="17" t="str">
        <x:v>No</x:v>
      </x:c>
      <x:c r="P6" s="17" t="str">
        <x:v>No</x:v>
      </x:c>
      <x:c r="Q6" s="17" t="str">
        <x:v>No</x:v>
      </x:c>
      <x:c r="R6" s="17"/>
      <x:c r="S6" s="17"/>
      <x:c r="T6" s="17" t="str">
        <x:v>Open</x:v>
      </x:c>
      <x:c r="U6" s="17"/>
      <x:c r="V6" s="17"/>
    </x:row>
    <x:row r="7">
      <x:c r="A7" s="17" t="str">
        <x:v>RR-003</x:v>
      </x:c>
      <x:c r="B7" s="17"/>
      <x:c r="C7" s="105"/>
      <x:c r="D7" s="17"/>
      <x:c r="E7" s="17"/>
      <x:c r="F7" s="17"/>
      <x:c r="G7" s="17" t="str">
        <x:v>Not Reviewed</x:v>
      </x:c>
      <x:c r="H7" s="17" t="str">
        <x:v>P2</x:v>
      </x:c>
      <x:c r="I7" s="17" t="str">
        <x:v>No</x:v>
      </x:c>
      <x:c r="J7" s="17" t="str">
        <x:v>No</x:v>
      </x:c>
      <x:c r="K7" s="17" t="str">
        <x:v>No</x:v>
      </x:c>
      <x:c r="L7" s="17" t="str">
        <x:v>No</x:v>
      </x:c>
      <x:c r="M7" s="17" t="str">
        <x:v>No</x:v>
      </x:c>
      <x:c r="N7" s="17" t="str">
        <x:v>No</x:v>
      </x:c>
      <x:c r="O7" s="17" t="str">
        <x:v>No</x:v>
      </x:c>
      <x:c r="P7" s="17" t="str">
        <x:v>No</x:v>
      </x:c>
      <x:c r="Q7" s="17" t="str">
        <x:v>No</x:v>
      </x:c>
      <x:c r="R7" s="17"/>
      <x:c r="S7" s="17"/>
      <x:c r="T7" s="17" t="str">
        <x:v>Open</x:v>
      </x:c>
      <x:c r="U7" s="17"/>
      <x:c r="V7" s="17"/>
    </x:row>
    <x:row r="8">
      <x:c r="A8" s="17" t="str">
        <x:v>RR-004</x:v>
      </x:c>
      <x:c r="B8" s="17"/>
      <x:c r="C8" s="105"/>
      <x:c r="D8" s="17"/>
      <x:c r="E8" s="17"/>
      <x:c r="F8" s="17"/>
      <x:c r="G8" s="17" t="str">
        <x:v>Not Reviewed</x:v>
      </x:c>
      <x:c r="H8" s="17" t="str">
        <x:v>P2</x:v>
      </x:c>
      <x:c r="I8" s="17" t="str">
        <x:v>No</x:v>
      </x:c>
      <x:c r="J8" s="17" t="str">
        <x:v>No</x:v>
      </x:c>
      <x:c r="K8" s="17" t="str">
        <x:v>No</x:v>
      </x:c>
      <x:c r="L8" s="17" t="str">
        <x:v>No</x:v>
      </x:c>
      <x:c r="M8" s="17" t="str">
        <x:v>No</x:v>
      </x:c>
      <x:c r="N8" s="17" t="str">
        <x:v>No</x:v>
      </x:c>
      <x:c r="O8" s="17" t="str">
        <x:v>No</x:v>
      </x:c>
      <x:c r="P8" s="17" t="str">
        <x:v>No</x:v>
      </x:c>
      <x:c r="Q8" s="17" t="str">
        <x:v>No</x:v>
      </x:c>
      <x:c r="R8" s="17"/>
      <x:c r="S8" s="17"/>
      <x:c r="T8" s="17" t="str">
        <x:v>Open</x:v>
      </x:c>
      <x:c r="U8" s="17"/>
      <x:c r="V8" s="17"/>
    </x:row>
    <x:row r="9">
      <x:c r="A9" s="17" t="str">
        <x:v>RR-005</x:v>
      </x:c>
      <x:c r="B9" s="17"/>
      <x:c r="C9" s="105"/>
      <x:c r="D9" s="17"/>
      <x:c r="E9" s="17"/>
      <x:c r="F9" s="17"/>
      <x:c r="G9" s="17" t="str">
        <x:v>Not Reviewed</x:v>
      </x:c>
      <x:c r="H9" s="17" t="str">
        <x:v>P2</x:v>
      </x:c>
      <x:c r="I9" s="17" t="str">
        <x:v>No</x:v>
      </x:c>
      <x:c r="J9" s="17" t="str">
        <x:v>No</x:v>
      </x:c>
      <x:c r="K9" s="17" t="str">
        <x:v>No</x:v>
      </x:c>
      <x:c r="L9" s="17" t="str">
        <x:v>No</x:v>
      </x:c>
      <x:c r="M9" s="17" t="str">
        <x:v>No</x:v>
      </x:c>
      <x:c r="N9" s="17" t="str">
        <x:v>No</x:v>
      </x:c>
      <x:c r="O9" s="17" t="str">
        <x:v>No</x:v>
      </x:c>
      <x:c r="P9" s="17" t="str">
        <x:v>No</x:v>
      </x:c>
      <x:c r="Q9" s="17" t="str">
        <x:v>No</x:v>
      </x:c>
      <x:c r="R9" s="17"/>
      <x:c r="S9" s="17"/>
      <x:c r="T9" s="17" t="str">
        <x:v>Open</x:v>
      </x:c>
      <x:c r="U9" s="17"/>
      <x:c r="V9" s="17"/>
    </x:row>
    <x:row r="10">
      <x:c r="A10" s="17" t="str">
        <x:v>RR-006</x:v>
      </x:c>
      <x:c r="B10" s="17"/>
      <x:c r="C10" s="105"/>
      <x:c r="D10" s="17"/>
      <x:c r="E10" s="17"/>
      <x:c r="F10" s="17"/>
      <x:c r="G10" s="17" t="str">
        <x:v>Not Reviewed</x:v>
      </x:c>
      <x:c r="H10" s="17" t="str">
        <x:v>P2</x:v>
      </x:c>
      <x:c r="I10" s="17" t="str">
        <x:v>No</x:v>
      </x:c>
      <x:c r="J10" s="17" t="str">
        <x:v>No</x:v>
      </x:c>
      <x:c r="K10" s="17" t="str">
        <x:v>No</x:v>
      </x:c>
      <x:c r="L10" s="17" t="str">
        <x:v>No</x:v>
      </x:c>
      <x:c r="M10" s="17" t="str">
        <x:v>No</x:v>
      </x:c>
      <x:c r="N10" s="17" t="str">
        <x:v>No</x:v>
      </x:c>
      <x:c r="O10" s="17" t="str">
        <x:v>No</x:v>
      </x:c>
      <x:c r="P10" s="17" t="str">
        <x:v>No</x:v>
      </x:c>
      <x:c r="Q10" s="17" t="str">
        <x:v>No</x:v>
      </x:c>
      <x:c r="R10" s="17"/>
      <x:c r="S10" s="17"/>
      <x:c r="T10" s="17" t="str">
        <x:v>Open</x:v>
      </x:c>
      <x:c r="U10" s="17"/>
      <x:c r="V10" s="17"/>
    </x:row>
    <x:row r="11">
      <x:c r="A11" s="17" t="str">
        <x:v>RR-007</x:v>
      </x:c>
      <x:c r="B11" s="17"/>
      <x:c r="C11" s="105"/>
      <x:c r="D11" s="17"/>
      <x:c r="E11" s="17"/>
      <x:c r="F11" s="17"/>
      <x:c r="G11" s="17" t="str">
        <x:v>Not Reviewed</x:v>
      </x:c>
      <x:c r="H11" s="17" t="str">
        <x:v>P2</x:v>
      </x:c>
      <x:c r="I11" s="17" t="str">
        <x:v>No</x:v>
      </x:c>
      <x:c r="J11" s="17" t="str">
        <x:v>No</x:v>
      </x:c>
      <x:c r="K11" s="17" t="str">
        <x:v>No</x:v>
      </x:c>
      <x:c r="L11" s="17" t="str">
        <x:v>No</x:v>
      </x:c>
      <x:c r="M11" s="17" t="str">
        <x:v>No</x:v>
      </x:c>
      <x:c r="N11" s="17" t="str">
        <x:v>No</x:v>
      </x:c>
      <x:c r="O11" s="17" t="str">
        <x:v>No</x:v>
      </x:c>
      <x:c r="P11" s="17" t="str">
        <x:v>No</x:v>
      </x:c>
      <x:c r="Q11" s="17" t="str">
        <x:v>No</x:v>
      </x:c>
      <x:c r="R11" s="17"/>
      <x:c r="S11" s="17"/>
      <x:c r="T11" s="17" t="str">
        <x:v>Open</x:v>
      </x:c>
      <x:c r="U11" s="17"/>
      <x:c r="V11" s="17"/>
    </x:row>
    <x:row r="12">
      <x:c r="A12" s="17" t="str">
        <x:v>RR-008</x:v>
      </x:c>
      <x:c r="B12" s="17"/>
      <x:c r="C12" s="105"/>
      <x:c r="D12" s="17"/>
      <x:c r="E12" s="17"/>
      <x:c r="F12" s="17"/>
      <x:c r="G12" s="17" t="str">
        <x:v>Not Reviewed</x:v>
      </x:c>
      <x:c r="H12" s="17" t="str">
        <x:v>P2</x:v>
      </x:c>
      <x:c r="I12" s="17" t="str">
        <x:v>No</x:v>
      </x:c>
      <x:c r="J12" s="17" t="str">
        <x:v>No</x:v>
      </x:c>
      <x:c r="K12" s="17" t="str">
        <x:v>No</x:v>
      </x:c>
      <x:c r="L12" s="17" t="str">
        <x:v>No</x:v>
      </x:c>
      <x:c r="M12" s="17" t="str">
        <x:v>No</x:v>
      </x:c>
      <x:c r="N12" s="17" t="str">
        <x:v>No</x:v>
      </x:c>
      <x:c r="O12" s="17" t="str">
        <x:v>No</x:v>
      </x:c>
      <x:c r="P12" s="17" t="str">
        <x:v>No</x:v>
      </x:c>
      <x:c r="Q12" s="17" t="str">
        <x:v>No</x:v>
      </x:c>
      <x:c r="R12" s="17"/>
      <x:c r="S12" s="17"/>
      <x:c r="T12" s="17" t="str">
        <x:v>Open</x:v>
      </x:c>
      <x:c r="U12" s="17"/>
      <x:c r="V12" s="17"/>
    </x:row>
    <x:row r="13">
      <x:c r="A13" s="17" t="str">
        <x:v>RR-009</x:v>
      </x:c>
      <x:c r="B13" s="17"/>
      <x:c r="C13" s="105"/>
      <x:c r="D13" s="17"/>
      <x:c r="E13" s="17"/>
      <x:c r="F13" s="17"/>
      <x:c r="G13" s="17" t="str">
        <x:v>Not Reviewed</x:v>
      </x:c>
      <x:c r="H13" s="17" t="str">
        <x:v>P2</x:v>
      </x:c>
      <x:c r="I13" s="17" t="str">
        <x:v>No</x:v>
      </x:c>
      <x:c r="J13" s="17" t="str">
        <x:v>No</x:v>
      </x:c>
      <x:c r="K13" s="17" t="str">
        <x:v>No</x:v>
      </x:c>
      <x:c r="L13" s="17" t="str">
        <x:v>No</x:v>
      </x:c>
      <x:c r="M13" s="17" t="str">
        <x:v>No</x:v>
      </x:c>
      <x:c r="N13" s="17" t="str">
        <x:v>No</x:v>
      </x:c>
      <x:c r="O13" s="17" t="str">
        <x:v>No</x:v>
      </x:c>
      <x:c r="P13" s="17" t="str">
        <x:v>No</x:v>
      </x:c>
      <x:c r="Q13" s="17" t="str">
        <x:v>No</x:v>
      </x:c>
      <x:c r="R13" s="17"/>
      <x:c r="S13" s="17"/>
      <x:c r="T13" s="17" t="str">
        <x:v>Open</x:v>
      </x:c>
      <x:c r="U13" s="17"/>
      <x:c r="V13" s="17"/>
    </x:row>
    <x:row r="14">
      <x:c r="A14" s="17" t="str">
        <x:v>RR-010</x:v>
      </x:c>
      <x:c r="B14" s="17"/>
      <x:c r="C14" s="105"/>
      <x:c r="D14" s="17"/>
      <x:c r="E14" s="17"/>
      <x:c r="F14" s="17"/>
      <x:c r="G14" s="17" t="str">
        <x:v>Not Reviewed</x:v>
      </x:c>
      <x:c r="H14" s="17" t="str">
        <x:v>P2</x:v>
      </x:c>
      <x:c r="I14" s="17" t="str">
        <x:v>No</x:v>
      </x:c>
      <x:c r="J14" s="17" t="str">
        <x:v>No</x:v>
      </x:c>
      <x:c r="K14" s="17" t="str">
        <x:v>No</x:v>
      </x:c>
      <x:c r="L14" s="17" t="str">
        <x:v>No</x:v>
      </x:c>
      <x:c r="M14" s="17" t="str">
        <x:v>No</x:v>
      </x:c>
      <x:c r="N14" s="17" t="str">
        <x:v>No</x:v>
      </x:c>
      <x:c r="O14" s="17" t="str">
        <x:v>No</x:v>
      </x:c>
      <x:c r="P14" s="17" t="str">
        <x:v>No</x:v>
      </x:c>
      <x:c r="Q14" s="17" t="str">
        <x:v>No</x:v>
      </x:c>
      <x:c r="R14" s="17"/>
      <x:c r="S14" s="17"/>
      <x:c r="T14" s="17" t="str">
        <x:v>Open</x:v>
      </x:c>
      <x:c r="U14" s="17"/>
      <x:c r="V14" s="17"/>
    </x:row>
    <x:row r="15">
      <x:c r="A15" s="17" t="str">
        <x:v>RR-011</x:v>
      </x:c>
      <x:c r="B15" s="17"/>
      <x:c r="C15" s="105"/>
      <x:c r="D15" s="17"/>
      <x:c r="E15" s="17"/>
      <x:c r="F15" s="17"/>
      <x:c r="G15" s="17" t="str">
        <x:v>Not Reviewed</x:v>
      </x:c>
      <x:c r="H15" s="17" t="str">
        <x:v>P2</x:v>
      </x:c>
      <x:c r="I15" s="17" t="str">
        <x:v>No</x:v>
      </x:c>
      <x:c r="J15" s="17" t="str">
        <x:v>No</x:v>
      </x:c>
      <x:c r="K15" s="17" t="str">
        <x:v>No</x:v>
      </x:c>
      <x:c r="L15" s="17" t="str">
        <x:v>No</x:v>
      </x:c>
      <x:c r="M15" s="17" t="str">
        <x:v>No</x:v>
      </x:c>
      <x:c r="N15" s="17" t="str">
        <x:v>No</x:v>
      </x:c>
      <x:c r="O15" s="17" t="str">
        <x:v>No</x:v>
      </x:c>
      <x:c r="P15" s="17" t="str">
        <x:v>No</x:v>
      </x:c>
      <x:c r="Q15" s="17" t="str">
        <x:v>No</x:v>
      </x:c>
      <x:c r="R15" s="17"/>
      <x:c r="S15" s="17"/>
      <x:c r="T15" s="17" t="str">
        <x:v>Open</x:v>
      </x:c>
      <x:c r="U15" s="17"/>
      <x:c r="V15" s="17"/>
    </x:row>
    <x:row r="16">
      <x:c r="A16" s="17" t="str">
        <x:v>RR-012</x:v>
      </x:c>
      <x:c r="B16" s="17"/>
      <x:c r="C16" s="105"/>
      <x:c r="D16" s="17"/>
      <x:c r="E16" s="17"/>
      <x:c r="F16" s="17"/>
      <x:c r="G16" s="17" t="str">
        <x:v>Not Reviewed</x:v>
      </x:c>
      <x:c r="H16" s="17" t="str">
        <x:v>P2</x:v>
      </x:c>
      <x:c r="I16" s="17" t="str">
        <x:v>No</x:v>
      </x:c>
      <x:c r="J16" s="17" t="str">
        <x:v>No</x:v>
      </x:c>
      <x:c r="K16" s="17" t="str">
        <x:v>No</x:v>
      </x:c>
      <x:c r="L16" s="17" t="str">
        <x:v>No</x:v>
      </x:c>
      <x:c r="M16" s="17" t="str">
        <x:v>No</x:v>
      </x:c>
      <x:c r="N16" s="17" t="str">
        <x:v>No</x:v>
      </x:c>
      <x:c r="O16" s="17" t="str">
        <x:v>No</x:v>
      </x:c>
      <x:c r="P16" s="17" t="str">
        <x:v>No</x:v>
      </x:c>
      <x:c r="Q16" s="17" t="str">
        <x:v>No</x:v>
      </x:c>
      <x:c r="R16" s="17"/>
      <x:c r="S16" s="17"/>
      <x:c r="T16" s="17" t="str">
        <x:v>Open</x:v>
      </x:c>
      <x:c r="U16" s="17"/>
      <x:c r="V16" s="17"/>
    </x:row>
    <x:row r="17">
      <x:c r="A17" s="17" t="str">
        <x:v>RR-013</x:v>
      </x:c>
      <x:c r="B17" s="17"/>
      <x:c r="C17" s="105"/>
      <x:c r="D17" s="17"/>
      <x:c r="E17" s="17"/>
      <x:c r="F17" s="17"/>
      <x:c r="G17" s="17" t="str">
        <x:v>Not Reviewed</x:v>
      </x:c>
      <x:c r="H17" s="17" t="str">
        <x:v>P2</x:v>
      </x:c>
      <x:c r="I17" s="17" t="str">
        <x:v>No</x:v>
      </x:c>
      <x:c r="J17" s="17" t="str">
        <x:v>No</x:v>
      </x:c>
      <x:c r="K17" s="17" t="str">
        <x:v>No</x:v>
      </x:c>
      <x:c r="L17" s="17" t="str">
        <x:v>No</x:v>
      </x:c>
      <x:c r="M17" s="17" t="str">
        <x:v>No</x:v>
      </x:c>
      <x:c r="N17" s="17" t="str">
        <x:v>No</x:v>
      </x:c>
      <x:c r="O17" s="17" t="str">
        <x:v>No</x:v>
      </x:c>
      <x:c r="P17" s="17" t="str">
        <x:v>No</x:v>
      </x:c>
      <x:c r="Q17" s="17" t="str">
        <x:v>No</x:v>
      </x:c>
      <x:c r="R17" s="17"/>
      <x:c r="S17" s="17"/>
      <x:c r="T17" s="17" t="str">
        <x:v>Open</x:v>
      </x:c>
      <x:c r="U17" s="17"/>
      <x:c r="V17" s="17"/>
    </x:row>
    <x:row r="18">
      <x:c r="A18" s="17" t="str">
        <x:v>RR-014</x:v>
      </x:c>
      <x:c r="B18" s="17"/>
      <x:c r="C18" s="105"/>
      <x:c r="D18" s="17"/>
      <x:c r="E18" s="17"/>
      <x:c r="F18" s="17"/>
      <x:c r="G18" s="17" t="str">
        <x:v>Not Reviewed</x:v>
      </x:c>
      <x:c r="H18" s="17" t="str">
        <x:v>P2</x:v>
      </x:c>
      <x:c r="I18" s="17" t="str">
        <x:v>No</x:v>
      </x:c>
      <x:c r="J18" s="17" t="str">
        <x:v>No</x:v>
      </x:c>
      <x:c r="K18" s="17" t="str">
        <x:v>No</x:v>
      </x:c>
      <x:c r="L18" s="17" t="str">
        <x:v>No</x:v>
      </x:c>
      <x:c r="M18" s="17" t="str">
        <x:v>No</x:v>
      </x:c>
      <x:c r="N18" s="17" t="str">
        <x:v>No</x:v>
      </x:c>
      <x:c r="O18" s="17" t="str">
        <x:v>No</x:v>
      </x:c>
      <x:c r="P18" s="17" t="str">
        <x:v>No</x:v>
      </x:c>
      <x:c r="Q18" s="17" t="str">
        <x:v>No</x:v>
      </x:c>
      <x:c r="R18" s="17"/>
      <x:c r="S18" s="17"/>
      <x:c r="T18" s="17" t="str">
        <x:v>Open</x:v>
      </x:c>
      <x:c r="U18" s="17"/>
      <x:c r="V18" s="17"/>
    </x:row>
    <x:row r="19">
      <x:c r="A19" s="17" t="str">
        <x:v>RR-015</x:v>
      </x:c>
      <x:c r="B19" s="17"/>
      <x:c r="C19" s="105"/>
      <x:c r="D19" s="17"/>
      <x:c r="E19" s="17"/>
      <x:c r="F19" s="17"/>
      <x:c r="G19" s="17" t="str">
        <x:v>Not Reviewed</x:v>
      </x:c>
      <x:c r="H19" s="17" t="str">
        <x:v>P2</x:v>
      </x:c>
      <x:c r="I19" s="17" t="str">
        <x:v>No</x:v>
      </x:c>
      <x:c r="J19" s="17" t="str">
        <x:v>No</x:v>
      </x:c>
      <x:c r="K19" s="17" t="str">
        <x:v>No</x:v>
      </x:c>
      <x:c r="L19" s="17" t="str">
        <x:v>No</x:v>
      </x:c>
      <x:c r="M19" s="17" t="str">
        <x:v>No</x:v>
      </x:c>
      <x:c r="N19" s="17" t="str">
        <x:v>No</x:v>
      </x:c>
      <x:c r="O19" s="17" t="str">
        <x:v>No</x:v>
      </x:c>
      <x:c r="P19" s="17" t="str">
        <x:v>No</x:v>
      </x:c>
      <x:c r="Q19" s="17" t="str">
        <x:v>No</x:v>
      </x:c>
      <x:c r="R19" s="17"/>
      <x:c r="S19" s="17"/>
      <x:c r="T19" s="17" t="str">
        <x:v>Open</x:v>
      </x:c>
      <x:c r="U19" s="17"/>
      <x:c r="V19" s="17"/>
    </x:row>
    <x:row r="20">
      <x:c r="A20" s="17" t="str">
        <x:v>RR-016</x:v>
      </x:c>
      <x:c r="B20" s="17"/>
      <x:c r="C20" s="105"/>
      <x:c r="D20" s="17"/>
      <x:c r="E20" s="17"/>
      <x:c r="F20" s="17"/>
      <x:c r="G20" s="17" t="str">
        <x:v>Not Reviewed</x:v>
      </x:c>
      <x:c r="H20" s="17" t="str">
        <x:v>P2</x:v>
      </x:c>
      <x:c r="I20" s="17" t="str">
        <x:v>No</x:v>
      </x:c>
      <x:c r="J20" s="17" t="str">
        <x:v>No</x:v>
      </x:c>
      <x:c r="K20" s="17" t="str">
        <x:v>No</x:v>
      </x:c>
      <x:c r="L20" s="17" t="str">
        <x:v>No</x:v>
      </x:c>
      <x:c r="M20" s="17" t="str">
        <x:v>No</x:v>
      </x:c>
      <x:c r="N20" s="17" t="str">
        <x:v>No</x:v>
      </x:c>
      <x:c r="O20" s="17" t="str">
        <x:v>No</x:v>
      </x:c>
      <x:c r="P20" s="17" t="str">
        <x:v>No</x:v>
      </x:c>
      <x:c r="Q20" s="17" t="str">
        <x:v>No</x:v>
      </x:c>
      <x:c r="R20" s="17"/>
      <x:c r="S20" s="17"/>
      <x:c r="T20" s="17" t="str">
        <x:v>Open</x:v>
      </x:c>
      <x:c r="U20" s="17"/>
      <x:c r="V20" s="17"/>
    </x:row>
    <x:row r="21">
      <x:c r="A21" s="17" t="str">
        <x:v>RR-017</x:v>
      </x:c>
      <x:c r="B21" s="17"/>
      <x:c r="C21" s="105"/>
      <x:c r="D21" s="17"/>
      <x:c r="E21" s="17"/>
      <x:c r="F21" s="17"/>
      <x:c r="G21" s="17" t="str">
        <x:v>Not Reviewed</x:v>
      </x:c>
      <x:c r="H21" s="17" t="str">
        <x:v>P2</x:v>
      </x:c>
      <x:c r="I21" s="17" t="str">
        <x:v>No</x:v>
      </x:c>
      <x:c r="J21" s="17" t="str">
        <x:v>No</x:v>
      </x:c>
      <x:c r="K21" s="17" t="str">
        <x:v>No</x:v>
      </x:c>
      <x:c r="L21" s="17" t="str">
        <x:v>No</x:v>
      </x:c>
      <x:c r="M21" s="17" t="str">
        <x:v>No</x:v>
      </x:c>
      <x:c r="N21" s="17" t="str">
        <x:v>No</x:v>
      </x:c>
      <x:c r="O21" s="17" t="str">
        <x:v>No</x:v>
      </x:c>
      <x:c r="P21" s="17" t="str">
        <x:v>No</x:v>
      </x:c>
      <x:c r="Q21" s="17" t="str">
        <x:v>No</x:v>
      </x:c>
      <x:c r="R21" s="17"/>
      <x:c r="S21" s="17"/>
      <x:c r="T21" s="17" t="str">
        <x:v>Open</x:v>
      </x:c>
      <x:c r="U21" s="17"/>
      <x:c r="V21" s="17"/>
    </x:row>
    <x:row r="22">
      <x:c r="A22" s="17" t="str">
        <x:v>RR-018</x:v>
      </x:c>
      <x:c r="B22" s="17"/>
      <x:c r="C22" s="105"/>
      <x:c r="D22" s="17"/>
      <x:c r="E22" s="17"/>
      <x:c r="F22" s="17"/>
      <x:c r="G22" s="17" t="str">
        <x:v>Not Reviewed</x:v>
      </x:c>
      <x:c r="H22" s="17" t="str">
        <x:v>P2</x:v>
      </x:c>
      <x:c r="I22" s="17" t="str">
        <x:v>No</x:v>
      </x:c>
      <x:c r="J22" s="17" t="str">
        <x:v>No</x:v>
      </x:c>
      <x:c r="K22" s="17" t="str">
        <x:v>No</x:v>
      </x:c>
      <x:c r="L22" s="17" t="str">
        <x:v>No</x:v>
      </x:c>
      <x:c r="M22" s="17" t="str">
        <x:v>No</x:v>
      </x:c>
      <x:c r="N22" s="17" t="str">
        <x:v>No</x:v>
      </x:c>
      <x:c r="O22" s="17" t="str">
        <x:v>No</x:v>
      </x:c>
      <x:c r="P22" s="17" t="str">
        <x:v>No</x:v>
      </x:c>
      <x:c r="Q22" s="17" t="str">
        <x:v>No</x:v>
      </x:c>
      <x:c r="R22" s="17"/>
      <x:c r="S22" s="17"/>
      <x:c r="T22" s="17" t="str">
        <x:v>Open</x:v>
      </x:c>
      <x:c r="U22" s="17"/>
      <x:c r="V22" s="17"/>
    </x:row>
    <x:row r="23">
      <x:c r="A23" s="17" t="str">
        <x:v>RR-019</x:v>
      </x:c>
      <x:c r="B23" s="17"/>
      <x:c r="C23" s="105"/>
      <x:c r="D23" s="17"/>
      <x:c r="E23" s="17"/>
      <x:c r="F23" s="17"/>
      <x:c r="G23" s="17" t="str">
        <x:v>Not Reviewed</x:v>
      </x:c>
      <x:c r="H23" s="17" t="str">
        <x:v>P2</x:v>
      </x:c>
      <x:c r="I23" s="17" t="str">
        <x:v>No</x:v>
      </x:c>
      <x:c r="J23" s="17" t="str">
        <x:v>No</x:v>
      </x:c>
      <x:c r="K23" s="17" t="str">
        <x:v>No</x:v>
      </x:c>
      <x:c r="L23" s="17" t="str">
        <x:v>No</x:v>
      </x:c>
      <x:c r="M23" s="17" t="str">
        <x:v>No</x:v>
      </x:c>
      <x:c r="N23" s="17" t="str">
        <x:v>No</x:v>
      </x:c>
      <x:c r="O23" s="17" t="str">
        <x:v>No</x:v>
      </x:c>
      <x:c r="P23" s="17" t="str">
        <x:v>No</x:v>
      </x:c>
      <x:c r="Q23" s="17" t="str">
        <x:v>No</x:v>
      </x:c>
      <x:c r="R23" s="17"/>
      <x:c r="S23" s="17"/>
      <x:c r="T23" s="17" t="str">
        <x:v>Open</x:v>
      </x:c>
      <x:c r="U23" s="17"/>
      <x:c r="V23" s="17"/>
    </x:row>
    <x:row r="24">
      <x:c r="A24" s="17" t="str">
        <x:v>RR-020</x:v>
      </x:c>
      <x:c r="B24" s="17"/>
      <x:c r="C24" s="105"/>
      <x:c r="D24" s="17"/>
      <x:c r="E24" s="17"/>
      <x:c r="F24" s="17"/>
      <x:c r="G24" s="17" t="str">
        <x:v>Not Reviewed</x:v>
      </x:c>
      <x:c r="H24" s="17" t="str">
        <x:v>P2</x:v>
      </x:c>
      <x:c r="I24" s="17" t="str">
        <x:v>No</x:v>
      </x:c>
      <x:c r="J24" s="17" t="str">
        <x:v>No</x:v>
      </x:c>
      <x:c r="K24" s="17" t="str">
        <x:v>No</x:v>
      </x:c>
      <x:c r="L24" s="17" t="str">
        <x:v>No</x:v>
      </x:c>
      <x:c r="M24" s="17" t="str">
        <x:v>No</x:v>
      </x:c>
      <x:c r="N24" s="17" t="str">
        <x:v>No</x:v>
      </x:c>
      <x:c r="O24" s="17" t="str">
        <x:v>No</x:v>
      </x:c>
      <x:c r="P24" s="17" t="str">
        <x:v>No</x:v>
      </x:c>
      <x:c r="Q24" s="17" t="str">
        <x:v>No</x:v>
      </x:c>
      <x:c r="R24" s="17"/>
      <x:c r="S24" s="17"/>
      <x:c r="T24" s="17" t="str">
        <x:v>Open</x:v>
      </x:c>
      <x:c r="U24" s="17"/>
      <x:c r="V24" s="17"/>
    </x:row>
    <x:row r="25">
      <x:c r="A25" s="17" t="str">
        <x:v>RR-021</x:v>
      </x:c>
      <x:c r="B25" s="17"/>
      <x:c r="C25" s="105"/>
      <x:c r="D25" s="17"/>
      <x:c r="E25" s="17"/>
      <x:c r="F25" s="17"/>
      <x:c r="G25" s="17" t="str">
        <x:v>Not Reviewed</x:v>
      </x:c>
      <x:c r="H25" s="17" t="str">
        <x:v>P2</x:v>
      </x:c>
      <x:c r="I25" s="17" t="str">
        <x:v>No</x:v>
      </x:c>
      <x:c r="J25" s="17" t="str">
        <x:v>No</x:v>
      </x:c>
      <x:c r="K25" s="17" t="str">
        <x:v>No</x:v>
      </x:c>
      <x:c r="L25" s="17" t="str">
        <x:v>No</x:v>
      </x:c>
      <x:c r="M25" s="17" t="str">
        <x:v>No</x:v>
      </x:c>
      <x:c r="N25" s="17" t="str">
        <x:v>No</x:v>
      </x:c>
      <x:c r="O25" s="17" t="str">
        <x:v>No</x:v>
      </x:c>
      <x:c r="P25" s="17" t="str">
        <x:v>No</x:v>
      </x:c>
      <x:c r="Q25" s="17" t="str">
        <x:v>No</x:v>
      </x:c>
      <x:c r="R25" s="17"/>
      <x:c r="S25" s="17"/>
      <x:c r="T25" s="17" t="str">
        <x:v>Open</x:v>
      </x:c>
      <x:c r="U25" s="17"/>
      <x:c r="V25" s="17"/>
    </x:row>
    <x:row r="26">
      <x:c r="A26" s="17" t="str">
        <x:v>RR-022</x:v>
      </x:c>
      <x:c r="B26" s="17"/>
      <x:c r="C26" s="105"/>
      <x:c r="D26" s="17"/>
      <x:c r="E26" s="17"/>
      <x:c r="F26" s="17"/>
      <x:c r="G26" s="17" t="str">
        <x:v>Not Reviewed</x:v>
      </x:c>
      <x:c r="H26" s="17" t="str">
        <x:v>P2</x:v>
      </x:c>
      <x:c r="I26" s="17" t="str">
        <x:v>No</x:v>
      </x:c>
      <x:c r="J26" s="17" t="str">
        <x:v>No</x:v>
      </x:c>
      <x:c r="K26" s="17" t="str">
        <x:v>No</x:v>
      </x:c>
      <x:c r="L26" s="17" t="str">
        <x:v>No</x:v>
      </x:c>
      <x:c r="M26" s="17" t="str">
        <x:v>No</x:v>
      </x:c>
      <x:c r="N26" s="17" t="str">
        <x:v>No</x:v>
      </x:c>
      <x:c r="O26" s="17" t="str">
        <x:v>No</x:v>
      </x:c>
      <x:c r="P26" s="17" t="str">
        <x:v>No</x:v>
      </x:c>
      <x:c r="Q26" s="17" t="str">
        <x:v>No</x:v>
      </x:c>
      <x:c r="R26" s="17"/>
      <x:c r="S26" s="17"/>
      <x:c r="T26" s="17" t="str">
        <x:v>Open</x:v>
      </x:c>
      <x:c r="U26" s="17"/>
      <x:c r="V26" s="17"/>
    </x:row>
    <x:row r="27">
      <x:c r="A27" s="17" t="str">
        <x:v>RR-023</x:v>
      </x:c>
      <x:c r="B27" s="17"/>
      <x:c r="C27" s="105"/>
      <x:c r="D27" s="17"/>
      <x:c r="E27" s="17"/>
      <x:c r="F27" s="17"/>
      <x:c r="G27" s="17" t="str">
        <x:v>Not Reviewed</x:v>
      </x:c>
      <x:c r="H27" s="17" t="str">
        <x:v>P2</x:v>
      </x:c>
      <x:c r="I27" s="17" t="str">
        <x:v>No</x:v>
      </x:c>
      <x:c r="J27" s="17" t="str">
        <x:v>No</x:v>
      </x:c>
      <x:c r="K27" s="17" t="str">
        <x:v>No</x:v>
      </x:c>
      <x:c r="L27" s="17" t="str">
        <x:v>No</x:v>
      </x:c>
      <x:c r="M27" s="17" t="str">
        <x:v>No</x:v>
      </x:c>
      <x:c r="N27" s="17" t="str">
        <x:v>No</x:v>
      </x:c>
      <x:c r="O27" s="17" t="str">
        <x:v>No</x:v>
      </x:c>
      <x:c r="P27" s="17" t="str">
        <x:v>No</x:v>
      </x:c>
      <x:c r="Q27" s="17" t="str">
        <x:v>No</x:v>
      </x:c>
      <x:c r="R27" s="17"/>
      <x:c r="S27" s="17"/>
      <x:c r="T27" s="17" t="str">
        <x:v>Open</x:v>
      </x:c>
      <x:c r="U27" s="17"/>
      <x:c r="V27" s="17"/>
    </x:row>
    <x:row r="28">
      <x:c r="A28" s="17" t="str">
        <x:v>RR-024</x:v>
      </x:c>
      <x:c r="B28" s="17"/>
      <x:c r="C28" s="105"/>
      <x:c r="D28" s="17"/>
      <x:c r="E28" s="17"/>
      <x:c r="F28" s="17"/>
      <x:c r="G28" s="17" t="str">
        <x:v>Not Reviewed</x:v>
      </x:c>
      <x:c r="H28" s="17" t="str">
        <x:v>P2</x:v>
      </x:c>
      <x:c r="I28" s="17" t="str">
        <x:v>No</x:v>
      </x:c>
      <x:c r="J28" s="17" t="str">
        <x:v>No</x:v>
      </x:c>
      <x:c r="K28" s="17" t="str">
        <x:v>No</x:v>
      </x:c>
      <x:c r="L28" s="17" t="str">
        <x:v>No</x:v>
      </x:c>
      <x:c r="M28" s="17" t="str">
        <x:v>No</x:v>
      </x:c>
      <x:c r="N28" s="17" t="str">
        <x:v>No</x:v>
      </x:c>
      <x:c r="O28" s="17" t="str">
        <x:v>No</x:v>
      </x:c>
      <x:c r="P28" s="17" t="str">
        <x:v>No</x:v>
      </x:c>
      <x:c r="Q28" s="17" t="str">
        <x:v>No</x:v>
      </x:c>
      <x:c r="R28" s="17"/>
      <x:c r="S28" s="17"/>
      <x:c r="T28" s="17" t="str">
        <x:v>Open</x:v>
      </x:c>
      <x:c r="U28" s="17"/>
      <x:c r="V28" s="17"/>
    </x:row>
    <x:row r="29">
      <x:c r="A29" s="17" t="str">
        <x:v>RR-025</x:v>
      </x:c>
      <x:c r="B29" s="17"/>
      <x:c r="C29" s="105"/>
      <x:c r="D29" s="17"/>
      <x:c r="E29" s="17"/>
      <x:c r="F29" s="17"/>
      <x:c r="G29" s="17" t="str">
        <x:v>Not Reviewed</x:v>
      </x:c>
      <x:c r="H29" s="17" t="str">
        <x:v>P2</x:v>
      </x:c>
      <x:c r="I29" s="17" t="str">
        <x:v>No</x:v>
      </x:c>
      <x:c r="J29" s="17" t="str">
        <x:v>No</x:v>
      </x:c>
      <x:c r="K29" s="17" t="str">
        <x:v>No</x:v>
      </x:c>
      <x:c r="L29" s="17" t="str">
        <x:v>No</x:v>
      </x:c>
      <x:c r="M29" s="17" t="str">
        <x:v>No</x:v>
      </x:c>
      <x:c r="N29" s="17" t="str">
        <x:v>No</x:v>
      </x:c>
      <x:c r="O29" s="17" t="str">
        <x:v>No</x:v>
      </x:c>
      <x:c r="P29" s="17" t="str">
        <x:v>No</x:v>
      </x:c>
      <x:c r="Q29" s="17" t="str">
        <x:v>No</x:v>
      </x:c>
      <x:c r="R29" s="17"/>
      <x:c r="S29" s="17"/>
      <x:c r="T29" s="17" t="str">
        <x:v>Open</x:v>
      </x:c>
      <x:c r="U29" s="17"/>
      <x:c r="V29" s="17"/>
    </x:row>
    <x:row r="30">
      <x:c r="A30" s="17" t="str">
        <x:v>RR-026</x:v>
      </x:c>
      <x:c r="B30" s="17"/>
      <x:c r="C30" s="105"/>
      <x:c r="D30" s="17"/>
      <x:c r="E30" s="17"/>
      <x:c r="F30" s="17"/>
      <x:c r="G30" s="17" t="str">
        <x:v>Not Reviewed</x:v>
      </x:c>
      <x:c r="H30" s="17" t="str">
        <x:v>P2</x:v>
      </x:c>
      <x:c r="I30" s="17" t="str">
        <x:v>No</x:v>
      </x:c>
      <x:c r="J30" s="17" t="str">
        <x:v>No</x:v>
      </x:c>
      <x:c r="K30" s="17" t="str">
        <x:v>No</x:v>
      </x:c>
      <x:c r="L30" s="17" t="str">
        <x:v>No</x:v>
      </x:c>
      <x:c r="M30" s="17" t="str">
        <x:v>No</x:v>
      </x:c>
      <x:c r="N30" s="17" t="str">
        <x:v>No</x:v>
      </x:c>
      <x:c r="O30" s="17" t="str">
        <x:v>No</x:v>
      </x:c>
      <x:c r="P30" s="17" t="str">
        <x:v>No</x:v>
      </x:c>
      <x:c r="Q30" s="17" t="str">
        <x:v>No</x:v>
      </x:c>
      <x:c r="R30" s="17"/>
      <x:c r="S30" s="17"/>
      <x:c r="T30" s="17" t="str">
        <x:v>Open</x:v>
      </x:c>
      <x:c r="U30" s="17"/>
      <x:c r="V30" s="17"/>
    </x:row>
    <x:row r="31">
      <x:c r="A31" s="17" t="str">
        <x:v>RR-027</x:v>
      </x:c>
      <x:c r="B31" s="17"/>
      <x:c r="C31" s="105"/>
      <x:c r="D31" s="17"/>
      <x:c r="E31" s="17"/>
      <x:c r="F31" s="17"/>
      <x:c r="G31" s="17" t="str">
        <x:v>Not Reviewed</x:v>
      </x:c>
      <x:c r="H31" s="17" t="str">
        <x:v>P2</x:v>
      </x:c>
      <x:c r="I31" s="17" t="str">
        <x:v>No</x:v>
      </x:c>
      <x:c r="J31" s="17" t="str">
        <x:v>No</x:v>
      </x:c>
      <x:c r="K31" s="17" t="str">
        <x:v>No</x:v>
      </x:c>
      <x:c r="L31" s="17" t="str">
        <x:v>No</x:v>
      </x:c>
      <x:c r="M31" s="17" t="str">
        <x:v>No</x:v>
      </x:c>
      <x:c r="N31" s="17" t="str">
        <x:v>No</x:v>
      </x:c>
      <x:c r="O31" s="17" t="str">
        <x:v>No</x:v>
      </x:c>
      <x:c r="P31" s="17" t="str">
        <x:v>No</x:v>
      </x:c>
      <x:c r="Q31" s="17" t="str">
        <x:v>No</x:v>
      </x:c>
      <x:c r="R31" s="17"/>
      <x:c r="S31" s="17"/>
      <x:c r="T31" s="17" t="str">
        <x:v>Open</x:v>
      </x:c>
      <x:c r="U31" s="17"/>
      <x:c r="V31" s="17"/>
    </x:row>
    <x:row r="32">
      <x:c r="A32" s="17" t="str">
        <x:v>RR-028</x:v>
      </x:c>
      <x:c r="B32" s="17"/>
      <x:c r="C32" s="105"/>
      <x:c r="D32" s="17"/>
      <x:c r="E32" s="17"/>
      <x:c r="F32" s="17"/>
      <x:c r="G32" s="17" t="str">
        <x:v>Not Reviewed</x:v>
      </x:c>
      <x:c r="H32" s="17" t="str">
        <x:v>P2</x:v>
      </x:c>
      <x:c r="I32" s="17" t="str">
        <x:v>No</x:v>
      </x:c>
      <x:c r="J32" s="17" t="str">
        <x:v>No</x:v>
      </x:c>
      <x:c r="K32" s="17" t="str">
        <x:v>No</x:v>
      </x:c>
      <x:c r="L32" s="17" t="str">
        <x:v>No</x:v>
      </x:c>
      <x:c r="M32" s="17" t="str">
        <x:v>No</x:v>
      </x:c>
      <x:c r="N32" s="17" t="str">
        <x:v>No</x:v>
      </x:c>
      <x:c r="O32" s="17" t="str">
        <x:v>No</x:v>
      </x:c>
      <x:c r="P32" s="17" t="str">
        <x:v>No</x:v>
      </x:c>
      <x:c r="Q32" s="17" t="str">
        <x:v>No</x:v>
      </x:c>
      <x:c r="R32" s="17"/>
      <x:c r="S32" s="17"/>
      <x:c r="T32" s="17" t="str">
        <x:v>Open</x:v>
      </x:c>
      <x:c r="U32" s="17"/>
      <x:c r="V32" s="17"/>
    </x:row>
    <x:row r="33">
      <x:c r="A33" s="17" t="str">
        <x:v>RR-029</x:v>
      </x:c>
      <x:c r="B33" s="17"/>
      <x:c r="C33" s="105"/>
      <x:c r="D33" s="17"/>
      <x:c r="E33" s="17"/>
      <x:c r="F33" s="17"/>
      <x:c r="G33" s="17" t="str">
        <x:v>Not Reviewed</x:v>
      </x:c>
      <x:c r="H33" s="17" t="str">
        <x:v>P2</x:v>
      </x:c>
      <x:c r="I33" s="17" t="str">
        <x:v>No</x:v>
      </x:c>
      <x:c r="J33" s="17" t="str">
        <x:v>No</x:v>
      </x:c>
      <x:c r="K33" s="17" t="str">
        <x:v>No</x:v>
      </x:c>
      <x:c r="L33" s="17" t="str">
        <x:v>No</x:v>
      </x:c>
      <x:c r="M33" s="17" t="str">
        <x:v>No</x:v>
      </x:c>
      <x:c r="N33" s="17" t="str">
        <x:v>No</x:v>
      </x:c>
      <x:c r="O33" s="17" t="str">
        <x:v>No</x:v>
      </x:c>
      <x:c r="P33" s="17" t="str">
        <x:v>No</x:v>
      </x:c>
      <x:c r="Q33" s="17" t="str">
        <x:v>No</x:v>
      </x:c>
      <x:c r="R33" s="17"/>
      <x:c r="S33" s="17"/>
      <x:c r="T33" s="17" t="str">
        <x:v>Open</x:v>
      </x:c>
      <x:c r="U33" s="17"/>
      <x:c r="V33" s="17"/>
    </x:row>
    <x:row r="34">
      <x:c r="A34" s="17" t="str">
        <x:v>RR-030</x:v>
      </x:c>
      <x:c r="B34" s="17"/>
      <x:c r="C34" s="105"/>
      <x:c r="D34" s="17"/>
      <x:c r="E34" s="17"/>
      <x:c r="F34" s="17"/>
      <x:c r="G34" s="17" t="str">
        <x:v>Not Reviewed</x:v>
      </x:c>
      <x:c r="H34" s="17" t="str">
        <x:v>P2</x:v>
      </x:c>
      <x:c r="I34" s="17" t="str">
        <x:v>No</x:v>
      </x:c>
      <x:c r="J34" s="17" t="str">
        <x:v>No</x:v>
      </x:c>
      <x:c r="K34" s="17" t="str">
        <x:v>No</x:v>
      </x:c>
      <x:c r="L34" s="17" t="str">
        <x:v>No</x:v>
      </x:c>
      <x:c r="M34" s="17" t="str">
        <x:v>No</x:v>
      </x:c>
      <x:c r="N34" s="17" t="str">
        <x:v>No</x:v>
      </x:c>
      <x:c r="O34" s="17" t="str">
        <x:v>No</x:v>
      </x:c>
      <x:c r="P34" s="17" t="str">
        <x:v>No</x:v>
      </x:c>
      <x:c r="Q34" s="17" t="str">
        <x:v>No</x:v>
      </x:c>
      <x:c r="R34" s="17"/>
      <x:c r="S34" s="17"/>
      <x:c r="T34" s="17" t="str">
        <x:v>Open</x:v>
      </x:c>
      <x:c r="U34" s="17"/>
      <x:c r="V34" s="17"/>
    </x:row>
    <x:row r="35">
      <x:c r="A35" s="17" t="str">
        <x:v>RR-031</x:v>
      </x:c>
      <x:c r="B35" s="17"/>
      <x:c r="C35" s="105"/>
      <x:c r="D35" s="17"/>
      <x:c r="E35" s="17"/>
      <x:c r="F35" s="17"/>
      <x:c r="G35" s="17" t="str">
        <x:v>Not Reviewed</x:v>
      </x:c>
      <x:c r="H35" s="17" t="str">
        <x:v>P2</x:v>
      </x:c>
      <x:c r="I35" s="17" t="str">
        <x:v>No</x:v>
      </x:c>
      <x:c r="J35" s="17" t="str">
        <x:v>No</x:v>
      </x:c>
      <x:c r="K35" s="17" t="str">
        <x:v>No</x:v>
      </x:c>
      <x:c r="L35" s="17" t="str">
        <x:v>No</x:v>
      </x:c>
      <x:c r="M35" s="17" t="str">
        <x:v>No</x:v>
      </x:c>
      <x:c r="N35" s="17" t="str">
        <x:v>No</x:v>
      </x:c>
      <x:c r="O35" s="17" t="str">
        <x:v>No</x:v>
      </x:c>
      <x:c r="P35" s="17" t="str">
        <x:v>No</x:v>
      </x:c>
      <x:c r="Q35" s="17" t="str">
        <x:v>No</x:v>
      </x:c>
      <x:c r="R35" s="17"/>
      <x:c r="S35" s="17"/>
      <x:c r="T35" s="17" t="str">
        <x:v>Open</x:v>
      </x:c>
      <x:c r="U35" s="17"/>
      <x:c r="V35" s="17"/>
    </x:row>
    <x:row r="36">
      <x:c r="A36" s="17" t="str">
        <x:v>RR-032</x:v>
      </x:c>
      <x:c r="B36" s="17"/>
      <x:c r="C36" s="105"/>
      <x:c r="D36" s="17"/>
      <x:c r="E36" s="17"/>
      <x:c r="F36" s="17"/>
      <x:c r="G36" s="17" t="str">
        <x:v>Not Reviewed</x:v>
      </x:c>
      <x:c r="H36" s="17" t="str">
        <x:v>P2</x:v>
      </x:c>
      <x:c r="I36" s="17" t="str">
        <x:v>No</x:v>
      </x:c>
      <x:c r="J36" s="17" t="str">
        <x:v>No</x:v>
      </x:c>
      <x:c r="K36" s="17" t="str">
        <x:v>No</x:v>
      </x:c>
      <x:c r="L36" s="17" t="str">
        <x:v>No</x:v>
      </x:c>
      <x:c r="M36" s="17" t="str">
        <x:v>No</x:v>
      </x:c>
      <x:c r="N36" s="17" t="str">
        <x:v>No</x:v>
      </x:c>
      <x:c r="O36" s="17" t="str">
        <x:v>No</x:v>
      </x:c>
      <x:c r="P36" s="17" t="str">
        <x:v>No</x:v>
      </x:c>
      <x:c r="Q36" s="17" t="str">
        <x:v>No</x:v>
      </x:c>
      <x:c r="R36" s="17"/>
      <x:c r="S36" s="17"/>
      <x:c r="T36" s="17" t="str">
        <x:v>Open</x:v>
      </x:c>
      <x:c r="U36" s="17"/>
      <x:c r="V36" s="17"/>
    </x:row>
    <x:row r="37">
      <x:c r="A37" s="17" t="str">
        <x:v>RR-033</x:v>
      </x:c>
      <x:c r="B37" s="17"/>
      <x:c r="C37" s="105"/>
      <x:c r="D37" s="17"/>
      <x:c r="E37" s="17"/>
      <x:c r="F37" s="17"/>
      <x:c r="G37" s="17" t="str">
        <x:v>Not Reviewed</x:v>
      </x:c>
      <x:c r="H37" s="17" t="str">
        <x:v>P2</x:v>
      </x:c>
      <x:c r="I37" s="17" t="str">
        <x:v>No</x:v>
      </x:c>
      <x:c r="J37" s="17" t="str">
        <x:v>No</x:v>
      </x:c>
      <x:c r="K37" s="17" t="str">
        <x:v>No</x:v>
      </x:c>
      <x:c r="L37" s="17" t="str">
        <x:v>No</x:v>
      </x:c>
      <x:c r="M37" s="17" t="str">
        <x:v>No</x:v>
      </x:c>
      <x:c r="N37" s="17" t="str">
        <x:v>No</x:v>
      </x:c>
      <x:c r="O37" s="17" t="str">
        <x:v>No</x:v>
      </x:c>
      <x:c r="P37" s="17" t="str">
        <x:v>No</x:v>
      </x:c>
      <x:c r="Q37" s="17" t="str">
        <x:v>No</x:v>
      </x:c>
      <x:c r="R37" s="17"/>
      <x:c r="S37" s="17"/>
      <x:c r="T37" s="17" t="str">
        <x:v>Open</x:v>
      </x:c>
      <x:c r="U37" s="17"/>
      <x:c r="V37" s="17"/>
    </x:row>
    <x:row r="38">
      <x:c r="A38" s="17" t="str">
        <x:v>RR-034</x:v>
      </x:c>
      <x:c r="B38" s="17"/>
      <x:c r="C38" s="105"/>
      <x:c r="D38" s="17"/>
      <x:c r="E38" s="17"/>
      <x:c r="F38" s="17"/>
      <x:c r="G38" s="17" t="str">
        <x:v>Not Reviewed</x:v>
      </x:c>
      <x:c r="H38" s="17" t="str">
        <x:v>P2</x:v>
      </x:c>
      <x:c r="I38" s="17" t="str">
        <x:v>No</x:v>
      </x:c>
      <x:c r="J38" s="17" t="str">
        <x:v>No</x:v>
      </x:c>
      <x:c r="K38" s="17" t="str">
        <x:v>No</x:v>
      </x:c>
      <x:c r="L38" s="17" t="str">
        <x:v>No</x:v>
      </x:c>
      <x:c r="M38" s="17" t="str">
        <x:v>No</x:v>
      </x:c>
      <x:c r="N38" s="17" t="str">
        <x:v>No</x:v>
      </x:c>
      <x:c r="O38" s="17" t="str">
        <x:v>No</x:v>
      </x:c>
      <x:c r="P38" s="17" t="str">
        <x:v>No</x:v>
      </x:c>
      <x:c r="Q38" s="17" t="str">
        <x:v>No</x:v>
      </x:c>
      <x:c r="R38" s="17"/>
      <x:c r="S38" s="17"/>
      <x:c r="T38" s="17" t="str">
        <x:v>Open</x:v>
      </x:c>
      <x:c r="U38" s="17"/>
      <x:c r="V38" s="17"/>
    </x:row>
    <x:row r="39">
      <x:c r="A39" s="17" t="str">
        <x:v>RR-035</x:v>
      </x:c>
      <x:c r="B39" s="17"/>
      <x:c r="C39" s="105"/>
      <x:c r="D39" s="17"/>
      <x:c r="E39" s="17"/>
      <x:c r="F39" s="17"/>
      <x:c r="G39" s="17" t="str">
        <x:v>Not Reviewed</x:v>
      </x:c>
      <x:c r="H39" s="17" t="str">
        <x:v>P2</x:v>
      </x:c>
      <x:c r="I39" s="17" t="str">
        <x:v>No</x:v>
      </x:c>
      <x:c r="J39" s="17" t="str">
        <x:v>No</x:v>
      </x:c>
      <x:c r="K39" s="17" t="str">
        <x:v>No</x:v>
      </x:c>
      <x:c r="L39" s="17" t="str">
        <x:v>No</x:v>
      </x:c>
      <x:c r="M39" s="17" t="str">
        <x:v>No</x:v>
      </x:c>
      <x:c r="N39" s="17" t="str">
        <x:v>No</x:v>
      </x:c>
      <x:c r="O39" s="17" t="str">
        <x:v>No</x:v>
      </x:c>
      <x:c r="P39" s="17" t="str">
        <x:v>No</x:v>
      </x:c>
      <x:c r="Q39" s="17" t="str">
        <x:v>No</x:v>
      </x:c>
      <x:c r="R39" s="17"/>
      <x:c r="S39" s="17"/>
      <x:c r="T39" s="17" t="str">
        <x:v>Open</x:v>
      </x:c>
      <x:c r="U39" s="17"/>
      <x:c r="V39" s="17"/>
    </x:row>
    <x:row r="40">
      <x:c r="A40" s="17" t="str">
        <x:v>RR-036</x:v>
      </x:c>
      <x:c r="B40" s="17"/>
      <x:c r="C40" s="105"/>
      <x:c r="D40" s="17"/>
      <x:c r="E40" s="17"/>
      <x:c r="F40" s="17"/>
      <x:c r="G40" s="17" t="str">
        <x:v>Not Reviewed</x:v>
      </x:c>
      <x:c r="H40" s="17" t="str">
        <x:v>P2</x:v>
      </x:c>
      <x:c r="I40" s="17" t="str">
        <x:v>No</x:v>
      </x:c>
      <x:c r="J40" s="17" t="str">
        <x:v>No</x:v>
      </x:c>
      <x:c r="K40" s="17" t="str">
        <x:v>No</x:v>
      </x:c>
      <x:c r="L40" s="17" t="str">
        <x:v>No</x:v>
      </x:c>
      <x:c r="M40" s="17" t="str">
        <x:v>No</x:v>
      </x:c>
      <x:c r="N40" s="17" t="str">
        <x:v>No</x:v>
      </x:c>
      <x:c r="O40" s="17" t="str">
        <x:v>No</x:v>
      </x:c>
      <x:c r="P40" s="17" t="str">
        <x:v>No</x:v>
      </x:c>
      <x:c r="Q40" s="17" t="str">
        <x:v>No</x:v>
      </x:c>
      <x:c r="R40" s="17"/>
      <x:c r="S40" s="17"/>
      <x:c r="T40" s="17" t="str">
        <x:v>Open</x:v>
      </x:c>
      <x:c r="U40" s="17"/>
      <x:c r="V40" s="17"/>
    </x:row>
    <x:row r="41">
      <x:c r="A41" s="17" t="str">
        <x:v>RR-037</x:v>
      </x:c>
      <x:c r="B41" s="17"/>
      <x:c r="C41" s="105"/>
      <x:c r="D41" s="17"/>
      <x:c r="E41" s="17"/>
      <x:c r="F41" s="17"/>
      <x:c r="G41" s="17" t="str">
        <x:v>Not Reviewed</x:v>
      </x:c>
      <x:c r="H41" s="17" t="str">
        <x:v>P2</x:v>
      </x:c>
      <x:c r="I41" s="17" t="str">
        <x:v>No</x:v>
      </x:c>
      <x:c r="J41" s="17" t="str">
        <x:v>No</x:v>
      </x:c>
      <x:c r="K41" s="17" t="str">
        <x:v>No</x:v>
      </x:c>
      <x:c r="L41" s="17" t="str">
        <x:v>No</x:v>
      </x:c>
      <x:c r="M41" s="17" t="str">
        <x:v>No</x:v>
      </x:c>
      <x:c r="N41" s="17" t="str">
        <x:v>No</x:v>
      </x:c>
      <x:c r="O41" s="17" t="str">
        <x:v>No</x:v>
      </x:c>
      <x:c r="P41" s="17" t="str">
        <x:v>No</x:v>
      </x:c>
      <x:c r="Q41" s="17" t="str">
        <x:v>No</x:v>
      </x:c>
      <x:c r="R41" s="17"/>
      <x:c r="S41" s="17"/>
      <x:c r="T41" s="17" t="str">
        <x:v>Open</x:v>
      </x:c>
      <x:c r="U41" s="17"/>
      <x:c r="V41" s="17"/>
    </x:row>
    <x:row r="42">
      <x:c r="A42" s="17" t="str">
        <x:v>RR-038</x:v>
      </x:c>
      <x:c r="B42" s="17"/>
      <x:c r="C42" s="105"/>
      <x:c r="D42" s="17"/>
      <x:c r="E42" s="17"/>
      <x:c r="F42" s="17"/>
      <x:c r="G42" s="17" t="str">
        <x:v>Not Reviewed</x:v>
      </x:c>
      <x:c r="H42" s="17" t="str">
        <x:v>P2</x:v>
      </x:c>
      <x:c r="I42" s="17" t="str">
        <x:v>No</x:v>
      </x:c>
      <x:c r="J42" s="17" t="str">
        <x:v>No</x:v>
      </x:c>
      <x:c r="K42" s="17" t="str">
        <x:v>No</x:v>
      </x:c>
      <x:c r="L42" s="17" t="str">
        <x:v>No</x:v>
      </x:c>
      <x:c r="M42" s="17" t="str">
        <x:v>No</x:v>
      </x:c>
      <x:c r="N42" s="17" t="str">
        <x:v>No</x:v>
      </x:c>
      <x:c r="O42" s="17" t="str">
        <x:v>No</x:v>
      </x:c>
      <x:c r="P42" s="17" t="str">
        <x:v>No</x:v>
      </x:c>
      <x:c r="Q42" s="17" t="str">
        <x:v>No</x:v>
      </x:c>
      <x:c r="R42" s="17"/>
      <x:c r="S42" s="17"/>
      <x:c r="T42" s="17" t="str">
        <x:v>Open</x:v>
      </x:c>
      <x:c r="U42" s="17"/>
      <x:c r="V42" s="17"/>
    </x:row>
    <x:row r="43">
      <x:c r="A43" s="17" t="str">
        <x:v>RR-039</x:v>
      </x:c>
      <x:c r="B43" s="17"/>
      <x:c r="C43" s="105"/>
      <x:c r="D43" s="17"/>
      <x:c r="E43" s="17"/>
      <x:c r="F43" s="17"/>
      <x:c r="G43" s="17" t="str">
        <x:v>Not Reviewed</x:v>
      </x:c>
      <x:c r="H43" s="17" t="str">
        <x:v>P2</x:v>
      </x:c>
      <x:c r="I43" s="17" t="str">
        <x:v>No</x:v>
      </x:c>
      <x:c r="J43" s="17" t="str">
        <x:v>No</x:v>
      </x:c>
      <x:c r="K43" s="17" t="str">
        <x:v>No</x:v>
      </x:c>
      <x:c r="L43" s="17" t="str">
        <x:v>No</x:v>
      </x:c>
      <x:c r="M43" s="17" t="str">
        <x:v>No</x:v>
      </x:c>
      <x:c r="N43" s="17" t="str">
        <x:v>No</x:v>
      </x:c>
      <x:c r="O43" s="17" t="str">
        <x:v>No</x:v>
      </x:c>
      <x:c r="P43" s="17" t="str">
        <x:v>No</x:v>
      </x:c>
      <x:c r="Q43" s="17" t="str">
        <x:v>No</x:v>
      </x:c>
      <x:c r="R43" s="17"/>
      <x:c r="S43" s="17"/>
      <x:c r="T43" s="17" t="str">
        <x:v>Open</x:v>
      </x:c>
      <x:c r="U43" s="17"/>
      <x:c r="V43" s="17"/>
    </x:row>
    <x:row r="44">
      <x:c r="A44" s="17" t="str">
        <x:v>RR-040</x:v>
      </x:c>
      <x:c r="B44" s="17"/>
      <x:c r="C44" s="105"/>
      <x:c r="D44" s="17"/>
      <x:c r="E44" s="17"/>
      <x:c r="F44" s="17"/>
      <x:c r="G44" s="17" t="str">
        <x:v>Not Reviewed</x:v>
      </x:c>
      <x:c r="H44" s="17" t="str">
        <x:v>P2</x:v>
      </x:c>
      <x:c r="I44" s="17" t="str">
        <x:v>No</x:v>
      </x:c>
      <x:c r="J44" s="17" t="str">
        <x:v>No</x:v>
      </x:c>
      <x:c r="K44" s="17" t="str">
        <x:v>No</x:v>
      </x:c>
      <x:c r="L44" s="17" t="str">
        <x:v>No</x:v>
      </x:c>
      <x:c r="M44" s="17" t="str">
        <x:v>No</x:v>
      </x:c>
      <x:c r="N44" s="17" t="str">
        <x:v>No</x:v>
      </x:c>
      <x:c r="O44" s="17" t="str">
        <x:v>No</x:v>
      </x:c>
      <x:c r="P44" s="17" t="str">
        <x:v>No</x:v>
      </x:c>
      <x:c r="Q44" s="17" t="str">
        <x:v>No</x:v>
      </x:c>
      <x:c r="R44" s="17"/>
      <x:c r="S44" s="17"/>
      <x:c r="T44" s="17" t="str">
        <x:v>Open</x:v>
      </x:c>
      <x:c r="U44" s="17"/>
      <x:c r="V44" s="17"/>
    </x:row>
    <x:row r="45">
      <x:c r="A45" s="17" t="str">
        <x:v>RR-041</x:v>
      </x:c>
      <x:c r="B45" s="17"/>
      <x:c r="C45" s="105"/>
      <x:c r="D45" s="17"/>
      <x:c r="E45" s="17"/>
      <x:c r="F45" s="17"/>
      <x:c r="G45" s="17" t="str">
        <x:v>Not Reviewed</x:v>
      </x:c>
      <x:c r="H45" s="17" t="str">
        <x:v>P2</x:v>
      </x:c>
      <x:c r="I45" s="17" t="str">
        <x:v>No</x:v>
      </x:c>
      <x:c r="J45" s="17" t="str">
        <x:v>No</x:v>
      </x:c>
      <x:c r="K45" s="17" t="str">
        <x:v>No</x:v>
      </x:c>
      <x:c r="L45" s="17" t="str">
        <x:v>No</x:v>
      </x:c>
      <x:c r="M45" s="17" t="str">
        <x:v>No</x:v>
      </x:c>
      <x:c r="N45" s="17" t="str">
        <x:v>No</x:v>
      </x:c>
      <x:c r="O45" s="17" t="str">
        <x:v>No</x:v>
      </x:c>
      <x:c r="P45" s="17" t="str">
        <x:v>No</x:v>
      </x:c>
      <x:c r="Q45" s="17" t="str">
        <x:v>No</x:v>
      </x:c>
      <x:c r="R45" s="17"/>
      <x:c r="S45" s="17"/>
      <x:c r="T45" s="17" t="str">
        <x:v>Open</x:v>
      </x:c>
      <x:c r="U45" s="17"/>
      <x:c r="V45" s="17"/>
    </x:row>
    <x:row r="46">
      <x:c r="A46" s="17" t="str">
        <x:v>RR-042</x:v>
      </x:c>
      <x:c r="B46" s="17"/>
      <x:c r="C46" s="105"/>
      <x:c r="D46" s="17"/>
      <x:c r="E46" s="17"/>
      <x:c r="F46" s="17"/>
      <x:c r="G46" s="17" t="str">
        <x:v>Not Reviewed</x:v>
      </x:c>
      <x:c r="H46" s="17" t="str">
        <x:v>P2</x:v>
      </x:c>
      <x:c r="I46" s="17" t="str">
        <x:v>No</x:v>
      </x:c>
      <x:c r="J46" s="17" t="str">
        <x:v>No</x:v>
      </x:c>
      <x:c r="K46" s="17" t="str">
        <x:v>No</x:v>
      </x:c>
      <x:c r="L46" s="17" t="str">
        <x:v>No</x:v>
      </x:c>
      <x:c r="M46" s="17" t="str">
        <x:v>No</x:v>
      </x:c>
      <x:c r="N46" s="17" t="str">
        <x:v>No</x:v>
      </x:c>
      <x:c r="O46" s="17" t="str">
        <x:v>No</x:v>
      </x:c>
      <x:c r="P46" s="17" t="str">
        <x:v>No</x:v>
      </x:c>
      <x:c r="Q46" s="17" t="str">
        <x:v>No</x:v>
      </x:c>
      <x:c r="R46" s="17"/>
      <x:c r="S46" s="17"/>
      <x:c r="T46" s="17" t="str">
        <x:v>Open</x:v>
      </x:c>
      <x:c r="U46" s="17"/>
      <x:c r="V46" s="17"/>
    </x:row>
    <x:row r="47">
      <x:c r="A47" s="17" t="str">
        <x:v>RR-043</x:v>
      </x:c>
      <x:c r="B47" s="17"/>
      <x:c r="C47" s="105"/>
      <x:c r="D47" s="17"/>
      <x:c r="E47" s="17"/>
      <x:c r="F47" s="17"/>
      <x:c r="G47" s="17" t="str">
        <x:v>Not Reviewed</x:v>
      </x:c>
      <x:c r="H47" s="17" t="str">
        <x:v>P2</x:v>
      </x:c>
      <x:c r="I47" s="17" t="str">
        <x:v>No</x:v>
      </x:c>
      <x:c r="J47" s="17" t="str">
        <x:v>No</x:v>
      </x:c>
      <x:c r="K47" s="17" t="str">
        <x:v>No</x:v>
      </x:c>
      <x:c r="L47" s="17" t="str">
        <x:v>No</x:v>
      </x:c>
      <x:c r="M47" s="17" t="str">
        <x:v>No</x:v>
      </x:c>
      <x:c r="N47" s="17" t="str">
        <x:v>No</x:v>
      </x:c>
      <x:c r="O47" s="17" t="str">
        <x:v>No</x:v>
      </x:c>
      <x:c r="P47" s="17" t="str">
        <x:v>No</x:v>
      </x:c>
      <x:c r="Q47" s="17" t="str">
        <x:v>No</x:v>
      </x:c>
      <x:c r="R47" s="17"/>
      <x:c r="S47" s="17"/>
      <x:c r="T47" s="17" t="str">
        <x:v>Open</x:v>
      </x:c>
      <x:c r="U47" s="17"/>
      <x:c r="V47" s="17"/>
    </x:row>
    <x:row r="48">
      <x:c r="A48" s="17" t="str">
        <x:v>RR-044</x:v>
      </x:c>
      <x:c r="B48" s="17"/>
      <x:c r="C48" s="105"/>
      <x:c r="D48" s="17"/>
      <x:c r="E48" s="17"/>
      <x:c r="F48" s="17"/>
      <x:c r="G48" s="17" t="str">
        <x:v>Not Reviewed</x:v>
      </x:c>
      <x:c r="H48" s="17" t="str">
        <x:v>P2</x:v>
      </x:c>
      <x:c r="I48" s="17" t="str">
        <x:v>No</x:v>
      </x:c>
      <x:c r="J48" s="17" t="str">
        <x:v>No</x:v>
      </x:c>
      <x:c r="K48" s="17" t="str">
        <x:v>No</x:v>
      </x:c>
      <x:c r="L48" s="17" t="str">
        <x:v>No</x:v>
      </x:c>
      <x:c r="M48" s="17" t="str">
        <x:v>No</x:v>
      </x:c>
      <x:c r="N48" s="17" t="str">
        <x:v>No</x:v>
      </x:c>
      <x:c r="O48" s="17" t="str">
        <x:v>No</x:v>
      </x:c>
      <x:c r="P48" s="17" t="str">
        <x:v>No</x:v>
      </x:c>
      <x:c r="Q48" s="17" t="str">
        <x:v>No</x:v>
      </x:c>
      <x:c r="R48" s="17"/>
      <x:c r="S48" s="17"/>
      <x:c r="T48" s="17" t="str">
        <x:v>Open</x:v>
      </x:c>
      <x:c r="U48" s="17"/>
      <x:c r="V48" s="17"/>
    </x:row>
    <x:row r="49">
      <x:c r="A49" s="17" t="str">
        <x:v>RR-045</x:v>
      </x:c>
      <x:c r="B49" s="17"/>
      <x:c r="C49" s="105"/>
      <x:c r="D49" s="17"/>
      <x:c r="E49" s="17"/>
      <x:c r="F49" s="17"/>
      <x:c r="G49" s="17" t="str">
        <x:v>Not Reviewed</x:v>
      </x:c>
      <x:c r="H49" s="17" t="str">
        <x:v>P2</x:v>
      </x:c>
      <x:c r="I49" s="17" t="str">
        <x:v>No</x:v>
      </x:c>
      <x:c r="J49" s="17" t="str">
        <x:v>No</x:v>
      </x:c>
      <x:c r="K49" s="17" t="str">
        <x:v>No</x:v>
      </x:c>
      <x:c r="L49" s="17" t="str">
        <x:v>No</x:v>
      </x:c>
      <x:c r="M49" s="17" t="str">
        <x:v>No</x:v>
      </x:c>
      <x:c r="N49" s="17" t="str">
        <x:v>No</x:v>
      </x:c>
      <x:c r="O49" s="17" t="str">
        <x:v>No</x:v>
      </x:c>
      <x:c r="P49" s="17" t="str">
        <x:v>No</x:v>
      </x:c>
      <x:c r="Q49" s="17" t="str">
        <x:v>No</x:v>
      </x:c>
      <x:c r="R49" s="17"/>
      <x:c r="S49" s="17"/>
      <x:c r="T49" s="17" t="str">
        <x:v>Open</x:v>
      </x:c>
      <x:c r="U49" s="17"/>
      <x:c r="V49" s="17"/>
    </x:row>
    <x:row r="50">
      <x:c r="A50" s="17" t="str">
        <x:v>RR-046</x:v>
      </x:c>
      <x:c r="B50" s="17"/>
      <x:c r="C50" s="105"/>
      <x:c r="D50" s="17"/>
      <x:c r="E50" s="17"/>
      <x:c r="F50" s="17"/>
      <x:c r="G50" s="17" t="str">
        <x:v>Not Reviewed</x:v>
      </x:c>
      <x:c r="H50" s="17" t="str">
        <x:v>P2</x:v>
      </x:c>
      <x:c r="I50" s="17" t="str">
        <x:v>No</x:v>
      </x:c>
      <x:c r="J50" s="17" t="str">
        <x:v>No</x:v>
      </x:c>
      <x:c r="K50" s="17" t="str">
        <x:v>No</x:v>
      </x:c>
      <x:c r="L50" s="17" t="str">
        <x:v>No</x:v>
      </x:c>
      <x:c r="M50" s="17" t="str">
        <x:v>No</x:v>
      </x:c>
      <x:c r="N50" s="17" t="str">
        <x:v>No</x:v>
      </x:c>
      <x:c r="O50" s="17" t="str">
        <x:v>No</x:v>
      </x:c>
      <x:c r="P50" s="17" t="str">
        <x:v>No</x:v>
      </x:c>
      <x:c r="Q50" s="17" t="str">
        <x:v>No</x:v>
      </x:c>
      <x:c r="R50" s="17"/>
      <x:c r="S50" s="17"/>
      <x:c r="T50" s="17" t="str">
        <x:v>Open</x:v>
      </x:c>
      <x:c r="U50" s="17"/>
      <x:c r="V50" s="17"/>
    </x:row>
    <x:row r="51">
      <x:c r="A51" s="17" t="str">
        <x:v>RR-047</x:v>
      </x:c>
      <x:c r="B51" s="17"/>
      <x:c r="C51" s="105"/>
      <x:c r="D51" s="17"/>
      <x:c r="E51" s="17"/>
      <x:c r="F51" s="17"/>
      <x:c r="G51" s="17" t="str">
        <x:v>Not Reviewed</x:v>
      </x:c>
      <x:c r="H51" s="17" t="str">
        <x:v>P2</x:v>
      </x:c>
      <x:c r="I51" s="17" t="str">
        <x:v>No</x:v>
      </x:c>
      <x:c r="J51" s="17" t="str">
        <x:v>No</x:v>
      </x:c>
      <x:c r="K51" s="17" t="str">
        <x:v>No</x:v>
      </x:c>
      <x:c r="L51" s="17" t="str">
        <x:v>No</x:v>
      </x:c>
      <x:c r="M51" s="17" t="str">
        <x:v>No</x:v>
      </x:c>
      <x:c r="N51" s="17" t="str">
        <x:v>No</x:v>
      </x:c>
      <x:c r="O51" s="17" t="str">
        <x:v>No</x:v>
      </x:c>
      <x:c r="P51" s="17" t="str">
        <x:v>No</x:v>
      </x:c>
      <x:c r="Q51" s="17" t="str">
        <x:v>No</x:v>
      </x:c>
      <x:c r="R51" s="17"/>
      <x:c r="S51" s="17"/>
      <x:c r="T51" s="17" t="str">
        <x:v>Open</x:v>
      </x:c>
      <x:c r="U51" s="17"/>
      <x:c r="V51" s="17"/>
    </x:row>
    <x:row r="52">
      <x:c r="A52" s="17" t="str">
        <x:v>RR-048</x:v>
      </x:c>
      <x:c r="B52" s="17"/>
      <x:c r="C52" s="105"/>
      <x:c r="D52" s="17"/>
      <x:c r="E52" s="17"/>
      <x:c r="F52" s="17"/>
      <x:c r="G52" s="17" t="str">
        <x:v>Not Reviewed</x:v>
      </x:c>
      <x:c r="H52" s="17" t="str">
        <x:v>P2</x:v>
      </x:c>
      <x:c r="I52" s="17" t="str">
        <x:v>No</x:v>
      </x:c>
      <x:c r="J52" s="17" t="str">
        <x:v>No</x:v>
      </x:c>
      <x:c r="K52" s="17" t="str">
        <x:v>No</x:v>
      </x:c>
      <x:c r="L52" s="17" t="str">
        <x:v>No</x:v>
      </x:c>
      <x:c r="M52" s="17" t="str">
        <x:v>No</x:v>
      </x:c>
      <x:c r="N52" s="17" t="str">
        <x:v>No</x:v>
      </x:c>
      <x:c r="O52" s="17" t="str">
        <x:v>No</x:v>
      </x:c>
      <x:c r="P52" s="17" t="str">
        <x:v>No</x:v>
      </x:c>
      <x:c r="Q52" s="17" t="str">
        <x:v>No</x:v>
      </x:c>
      <x:c r="R52" s="17"/>
      <x:c r="S52" s="17"/>
      <x:c r="T52" s="17" t="str">
        <x:v>Open</x:v>
      </x:c>
      <x:c r="U52" s="17"/>
      <x:c r="V52" s="17"/>
    </x:row>
    <x:row r="53">
      <x:c r="A53" s="17" t="str">
        <x:v>RR-049</x:v>
      </x:c>
      <x:c r="B53" s="17"/>
      <x:c r="C53" s="105"/>
      <x:c r="D53" s="17"/>
      <x:c r="E53" s="17"/>
      <x:c r="F53" s="17"/>
      <x:c r="G53" s="17" t="str">
        <x:v>Not Reviewed</x:v>
      </x:c>
      <x:c r="H53" s="17" t="str">
        <x:v>P2</x:v>
      </x:c>
      <x:c r="I53" s="17" t="str">
        <x:v>No</x:v>
      </x:c>
      <x:c r="J53" s="17" t="str">
        <x:v>No</x:v>
      </x:c>
      <x:c r="K53" s="17" t="str">
        <x:v>No</x:v>
      </x:c>
      <x:c r="L53" s="17" t="str">
        <x:v>No</x:v>
      </x:c>
      <x:c r="M53" s="17" t="str">
        <x:v>No</x:v>
      </x:c>
      <x:c r="N53" s="17" t="str">
        <x:v>No</x:v>
      </x:c>
      <x:c r="O53" s="17" t="str">
        <x:v>No</x:v>
      </x:c>
      <x:c r="P53" s="17" t="str">
        <x:v>No</x:v>
      </x:c>
      <x:c r="Q53" s="17" t="str">
        <x:v>No</x:v>
      </x:c>
      <x:c r="R53" s="17"/>
      <x:c r="S53" s="17"/>
      <x:c r="T53" s="17" t="str">
        <x:v>Open</x:v>
      </x:c>
      <x:c r="U53" s="17"/>
      <x:c r="V53" s="17"/>
    </x:row>
    <x:row r="54">
      <x:c r="A54" s="17" t="str">
        <x:v>RR-050</x:v>
      </x:c>
      <x:c r="B54" s="17"/>
      <x:c r="C54" s="105"/>
      <x:c r="D54" s="17"/>
      <x:c r="E54" s="17"/>
      <x:c r="F54" s="17"/>
      <x:c r="G54" s="17" t="str">
        <x:v>Not Reviewed</x:v>
      </x:c>
      <x:c r="H54" s="17" t="str">
        <x:v>P2</x:v>
      </x:c>
      <x:c r="I54" s="17" t="str">
        <x:v>No</x:v>
      </x:c>
      <x:c r="J54" s="17" t="str">
        <x:v>No</x:v>
      </x:c>
      <x:c r="K54" s="17" t="str">
        <x:v>No</x:v>
      </x:c>
      <x:c r="L54" s="17" t="str">
        <x:v>No</x:v>
      </x:c>
      <x:c r="M54" s="17" t="str">
        <x:v>No</x:v>
      </x:c>
      <x:c r="N54" s="17" t="str">
        <x:v>No</x:v>
      </x:c>
      <x:c r="O54" s="17" t="str">
        <x:v>No</x:v>
      </x:c>
      <x:c r="P54" s="17" t="str">
        <x:v>No</x:v>
      </x:c>
      <x:c r="Q54" s="17" t="str">
        <x:v>No</x:v>
      </x:c>
      <x:c r="R54" s="17"/>
      <x:c r="S54" s="17"/>
      <x:c r="T54" s="17" t="str">
        <x:v>Open</x:v>
      </x:c>
      <x:c r="U54" s="17"/>
      <x:c r="V54" s="17"/>
    </x:row>
    <x:row r="55">
      <x:c r="A55" s="17" t="str">
        <x:v>RR-051</x:v>
      </x:c>
      <x:c r="B55" s="17"/>
      <x:c r="C55" s="105"/>
      <x:c r="D55" s="17"/>
      <x:c r="E55" s="17"/>
      <x:c r="F55" s="17"/>
      <x:c r="G55" s="17" t="str">
        <x:v>Not Reviewed</x:v>
      </x:c>
      <x:c r="H55" s="17" t="str">
        <x:v>P2</x:v>
      </x:c>
      <x:c r="I55" s="17" t="str">
        <x:v>No</x:v>
      </x:c>
      <x:c r="J55" s="17" t="str">
        <x:v>No</x:v>
      </x:c>
      <x:c r="K55" s="17" t="str">
        <x:v>No</x:v>
      </x:c>
      <x:c r="L55" s="17" t="str">
        <x:v>No</x:v>
      </x:c>
      <x:c r="M55" s="17" t="str">
        <x:v>No</x:v>
      </x:c>
      <x:c r="N55" s="17" t="str">
        <x:v>No</x:v>
      </x:c>
      <x:c r="O55" s="17" t="str">
        <x:v>No</x:v>
      </x:c>
      <x:c r="P55" s="17" t="str">
        <x:v>No</x:v>
      </x:c>
      <x:c r="Q55" s="17" t="str">
        <x:v>No</x:v>
      </x:c>
      <x:c r="R55" s="17"/>
      <x:c r="S55" s="17"/>
      <x:c r="T55" s="17" t="str">
        <x:v>Open</x:v>
      </x:c>
      <x:c r="U55" s="17"/>
      <x:c r="V55" s="17"/>
    </x:row>
    <x:row r="56">
      <x:c r="A56" s="17" t="str">
        <x:v>RR-052</x:v>
      </x:c>
      <x:c r="B56" s="17"/>
      <x:c r="C56" s="105"/>
      <x:c r="D56" s="17"/>
      <x:c r="E56" s="17"/>
      <x:c r="F56" s="17"/>
      <x:c r="G56" s="17" t="str">
        <x:v>Not Reviewed</x:v>
      </x:c>
      <x:c r="H56" s="17" t="str">
        <x:v>P2</x:v>
      </x:c>
      <x:c r="I56" s="17" t="str">
        <x:v>No</x:v>
      </x:c>
      <x:c r="J56" s="17" t="str">
        <x:v>No</x:v>
      </x:c>
      <x:c r="K56" s="17" t="str">
        <x:v>No</x:v>
      </x:c>
      <x:c r="L56" s="17" t="str">
        <x:v>No</x:v>
      </x:c>
      <x:c r="M56" s="17" t="str">
        <x:v>No</x:v>
      </x:c>
      <x:c r="N56" s="17" t="str">
        <x:v>No</x:v>
      </x:c>
      <x:c r="O56" s="17" t="str">
        <x:v>No</x:v>
      </x:c>
      <x:c r="P56" s="17" t="str">
        <x:v>No</x:v>
      </x:c>
      <x:c r="Q56" s="17" t="str">
        <x:v>No</x:v>
      </x:c>
      <x:c r="R56" s="17"/>
      <x:c r="S56" s="17"/>
      <x:c r="T56" s="17" t="str">
        <x:v>Open</x:v>
      </x:c>
      <x:c r="U56" s="17"/>
      <x:c r="V56" s="17"/>
    </x:row>
    <x:row r="57">
      <x:c r="A57" s="17" t="str">
        <x:v>RR-053</x:v>
      </x:c>
      <x:c r="B57" s="17"/>
      <x:c r="C57" s="105"/>
      <x:c r="D57" s="17"/>
      <x:c r="E57" s="17"/>
      <x:c r="F57" s="17"/>
      <x:c r="G57" s="17" t="str">
        <x:v>Not Reviewed</x:v>
      </x:c>
      <x:c r="H57" s="17" t="str">
        <x:v>P2</x:v>
      </x:c>
      <x:c r="I57" s="17" t="str">
        <x:v>No</x:v>
      </x:c>
      <x:c r="J57" s="17" t="str">
        <x:v>No</x:v>
      </x:c>
      <x:c r="K57" s="17" t="str">
        <x:v>No</x:v>
      </x:c>
      <x:c r="L57" s="17" t="str">
        <x:v>No</x:v>
      </x:c>
      <x:c r="M57" s="17" t="str">
        <x:v>No</x:v>
      </x:c>
      <x:c r="N57" s="17" t="str">
        <x:v>No</x:v>
      </x:c>
      <x:c r="O57" s="17" t="str">
        <x:v>No</x:v>
      </x:c>
      <x:c r="P57" s="17" t="str">
        <x:v>No</x:v>
      </x:c>
      <x:c r="Q57" s="17" t="str">
        <x:v>No</x:v>
      </x:c>
      <x:c r="R57" s="17"/>
      <x:c r="S57" s="17"/>
      <x:c r="T57" s="17" t="str">
        <x:v>Open</x:v>
      </x:c>
      <x:c r="U57" s="17"/>
      <x:c r="V57" s="17"/>
    </x:row>
    <x:row r="58">
      <x:c r="A58" s="17" t="str">
        <x:v>RR-054</x:v>
      </x:c>
      <x:c r="B58" s="17"/>
      <x:c r="C58" s="105"/>
      <x:c r="D58" s="17"/>
      <x:c r="E58" s="17"/>
      <x:c r="F58" s="17"/>
      <x:c r="G58" s="17" t="str">
        <x:v>Not Reviewed</x:v>
      </x:c>
      <x:c r="H58" s="17" t="str">
        <x:v>P2</x:v>
      </x:c>
      <x:c r="I58" s="17" t="str">
        <x:v>No</x:v>
      </x:c>
      <x:c r="J58" s="17" t="str">
        <x:v>No</x:v>
      </x:c>
      <x:c r="K58" s="17" t="str">
        <x:v>No</x:v>
      </x:c>
      <x:c r="L58" s="17" t="str">
        <x:v>No</x:v>
      </x:c>
      <x:c r="M58" s="17" t="str">
        <x:v>No</x:v>
      </x:c>
      <x:c r="N58" s="17" t="str">
        <x:v>No</x:v>
      </x:c>
      <x:c r="O58" s="17" t="str">
        <x:v>No</x:v>
      </x:c>
      <x:c r="P58" s="17" t="str">
        <x:v>No</x:v>
      </x:c>
      <x:c r="Q58" s="17" t="str">
        <x:v>No</x:v>
      </x:c>
      <x:c r="R58" s="17"/>
      <x:c r="S58" s="17"/>
      <x:c r="T58" s="17" t="str">
        <x:v>Open</x:v>
      </x:c>
      <x:c r="U58" s="17"/>
      <x:c r="V58" s="17"/>
    </x:row>
    <x:row r="59">
      <x:c r="A59" s="17" t="str">
        <x:v>RR-055</x:v>
      </x:c>
      <x:c r="B59" s="17"/>
      <x:c r="C59" s="105"/>
      <x:c r="D59" s="17"/>
      <x:c r="E59" s="17"/>
      <x:c r="F59" s="17"/>
      <x:c r="G59" s="17" t="str">
        <x:v>Not Reviewed</x:v>
      </x:c>
      <x:c r="H59" s="17" t="str">
        <x:v>P2</x:v>
      </x:c>
      <x:c r="I59" s="17" t="str">
        <x:v>No</x:v>
      </x:c>
      <x:c r="J59" s="17" t="str">
        <x:v>No</x:v>
      </x:c>
      <x:c r="K59" s="17" t="str">
        <x:v>No</x:v>
      </x:c>
      <x:c r="L59" s="17" t="str">
        <x:v>No</x:v>
      </x:c>
      <x:c r="M59" s="17" t="str">
        <x:v>No</x:v>
      </x:c>
      <x:c r="N59" s="17" t="str">
        <x:v>No</x:v>
      </x:c>
      <x:c r="O59" s="17" t="str">
        <x:v>No</x:v>
      </x:c>
      <x:c r="P59" s="17" t="str">
        <x:v>No</x:v>
      </x:c>
      <x:c r="Q59" s="17" t="str">
        <x:v>No</x:v>
      </x:c>
      <x:c r="R59" s="17"/>
      <x:c r="S59" s="17"/>
      <x:c r="T59" s="17" t="str">
        <x:v>Open</x:v>
      </x:c>
      <x:c r="U59" s="17"/>
      <x:c r="V59" s="17"/>
    </x:row>
    <x:row r="60">
      <x:c r="A60" s="17" t="str">
        <x:v>RR-056</x:v>
      </x:c>
      <x:c r="B60" s="17"/>
      <x:c r="C60" s="105"/>
      <x:c r="D60" s="17"/>
      <x:c r="E60" s="17"/>
      <x:c r="F60" s="17"/>
      <x:c r="G60" s="17" t="str">
        <x:v>Not Reviewed</x:v>
      </x:c>
      <x:c r="H60" s="17" t="str">
        <x:v>P2</x:v>
      </x:c>
      <x:c r="I60" s="17" t="str">
        <x:v>No</x:v>
      </x:c>
      <x:c r="J60" s="17" t="str">
        <x:v>No</x:v>
      </x:c>
      <x:c r="K60" s="17" t="str">
        <x:v>No</x:v>
      </x:c>
      <x:c r="L60" s="17" t="str">
        <x:v>No</x:v>
      </x:c>
      <x:c r="M60" s="17" t="str">
        <x:v>No</x:v>
      </x:c>
      <x:c r="N60" s="17" t="str">
        <x:v>No</x:v>
      </x:c>
      <x:c r="O60" s="17" t="str">
        <x:v>No</x:v>
      </x:c>
      <x:c r="P60" s="17" t="str">
        <x:v>No</x:v>
      </x:c>
      <x:c r="Q60" s="17" t="str">
        <x:v>No</x:v>
      </x:c>
      <x:c r="R60" s="17"/>
      <x:c r="S60" s="17"/>
      <x:c r="T60" s="17" t="str">
        <x:v>Open</x:v>
      </x:c>
      <x:c r="U60" s="17"/>
      <x:c r="V60" s="17"/>
    </x:row>
    <x:row r="61">
      <x:c r="A61" s="17" t="str">
        <x:v>RR-057</x:v>
      </x:c>
      <x:c r="B61" s="17"/>
      <x:c r="C61" s="105"/>
      <x:c r="D61" s="17"/>
      <x:c r="E61" s="17"/>
      <x:c r="F61" s="17"/>
      <x:c r="G61" s="17" t="str">
        <x:v>Not Reviewed</x:v>
      </x:c>
      <x:c r="H61" s="17" t="str">
        <x:v>P2</x:v>
      </x:c>
      <x:c r="I61" s="17" t="str">
        <x:v>No</x:v>
      </x:c>
      <x:c r="J61" s="17" t="str">
        <x:v>No</x:v>
      </x:c>
      <x:c r="K61" s="17" t="str">
        <x:v>No</x:v>
      </x:c>
      <x:c r="L61" s="17" t="str">
        <x:v>No</x:v>
      </x:c>
      <x:c r="M61" s="17" t="str">
        <x:v>No</x:v>
      </x:c>
      <x:c r="N61" s="17" t="str">
        <x:v>No</x:v>
      </x:c>
      <x:c r="O61" s="17" t="str">
        <x:v>No</x:v>
      </x:c>
      <x:c r="P61" s="17" t="str">
        <x:v>No</x:v>
      </x:c>
      <x:c r="Q61" s="17" t="str">
        <x:v>No</x:v>
      </x:c>
      <x:c r="R61" s="17"/>
      <x:c r="S61" s="17"/>
      <x:c r="T61" s="17" t="str">
        <x:v>Open</x:v>
      </x:c>
      <x:c r="U61" s="17"/>
      <x:c r="V61" s="17"/>
    </x:row>
    <x:row r="62">
      <x:c r="A62" s="17" t="str">
        <x:v>RR-058</x:v>
      </x:c>
      <x:c r="B62" s="17"/>
      <x:c r="C62" s="105"/>
      <x:c r="D62" s="17"/>
      <x:c r="E62" s="17"/>
      <x:c r="F62" s="17"/>
      <x:c r="G62" s="17" t="str">
        <x:v>Not Reviewed</x:v>
      </x:c>
      <x:c r="H62" s="17" t="str">
        <x:v>P2</x:v>
      </x:c>
      <x:c r="I62" s="17" t="str">
        <x:v>No</x:v>
      </x:c>
      <x:c r="J62" s="17" t="str">
        <x:v>No</x:v>
      </x:c>
      <x:c r="K62" s="17" t="str">
        <x:v>No</x:v>
      </x:c>
      <x:c r="L62" s="17" t="str">
        <x:v>No</x:v>
      </x:c>
      <x:c r="M62" s="17" t="str">
        <x:v>No</x:v>
      </x:c>
      <x:c r="N62" s="17" t="str">
        <x:v>No</x:v>
      </x:c>
      <x:c r="O62" s="17" t="str">
        <x:v>No</x:v>
      </x:c>
      <x:c r="P62" s="17" t="str">
        <x:v>No</x:v>
      </x:c>
      <x:c r="Q62" s="17" t="str">
        <x:v>No</x:v>
      </x:c>
      <x:c r="R62" s="17"/>
      <x:c r="S62" s="17"/>
      <x:c r="T62" s="17" t="str">
        <x:v>Open</x:v>
      </x:c>
      <x:c r="U62" s="17"/>
      <x:c r="V62" s="17"/>
    </x:row>
    <x:row r="63">
      <x:c r="A63" s="17" t="str">
        <x:v>RR-059</x:v>
      </x:c>
      <x:c r="B63" s="17"/>
      <x:c r="C63" s="105"/>
      <x:c r="D63" s="17"/>
      <x:c r="E63" s="17"/>
      <x:c r="F63" s="17"/>
      <x:c r="G63" s="17" t="str">
        <x:v>Not Reviewed</x:v>
      </x:c>
      <x:c r="H63" s="17" t="str">
        <x:v>P2</x:v>
      </x:c>
      <x:c r="I63" s="17" t="str">
        <x:v>No</x:v>
      </x:c>
      <x:c r="J63" s="17" t="str">
        <x:v>No</x:v>
      </x:c>
      <x:c r="K63" s="17" t="str">
        <x:v>No</x:v>
      </x:c>
      <x:c r="L63" s="17" t="str">
        <x:v>No</x:v>
      </x:c>
      <x:c r="M63" s="17" t="str">
        <x:v>No</x:v>
      </x:c>
      <x:c r="N63" s="17" t="str">
        <x:v>No</x:v>
      </x:c>
      <x:c r="O63" s="17" t="str">
        <x:v>No</x:v>
      </x:c>
      <x:c r="P63" s="17" t="str">
        <x:v>No</x:v>
      </x:c>
      <x:c r="Q63" s="17" t="str">
        <x:v>No</x:v>
      </x:c>
      <x:c r="R63" s="17"/>
      <x:c r="S63" s="17"/>
      <x:c r="T63" s="17" t="str">
        <x:v>Open</x:v>
      </x:c>
      <x:c r="U63" s="17"/>
      <x:c r="V63" s="17"/>
    </x:row>
    <x:row r="64">
      <x:c r="A64" s="17" t="str">
        <x:v>RR-060</x:v>
      </x:c>
      <x:c r="B64" s="17"/>
      <x:c r="C64" s="105"/>
      <x:c r="D64" s="17"/>
      <x:c r="E64" s="17"/>
      <x:c r="F64" s="17"/>
      <x:c r="G64" s="17" t="str">
        <x:v>Not Reviewed</x:v>
      </x:c>
      <x:c r="H64" s="17" t="str">
        <x:v>P2</x:v>
      </x:c>
      <x:c r="I64" s="17" t="str">
        <x:v>No</x:v>
      </x:c>
      <x:c r="J64" s="17" t="str">
        <x:v>No</x:v>
      </x:c>
      <x:c r="K64" s="17" t="str">
        <x:v>No</x:v>
      </x:c>
      <x:c r="L64" s="17" t="str">
        <x:v>No</x:v>
      </x:c>
      <x:c r="M64" s="17" t="str">
        <x:v>No</x:v>
      </x:c>
      <x:c r="N64" s="17" t="str">
        <x:v>No</x:v>
      </x:c>
      <x:c r="O64" s="17" t="str">
        <x:v>No</x:v>
      </x:c>
      <x:c r="P64" s="17" t="str">
        <x:v>No</x:v>
      </x:c>
      <x:c r="Q64" s="17" t="str">
        <x:v>No</x:v>
      </x:c>
      <x:c r="R64" s="17"/>
      <x:c r="S64" s="17"/>
      <x:c r="T64" s="17" t="str">
        <x:v>Open</x:v>
      </x:c>
      <x:c r="U64" s="17"/>
      <x:c r="V64" s="17"/>
    </x:row>
    <x:row r="65">
      <x:c r="A65" s="17" t="str">
        <x:v>RR-061</x:v>
      </x:c>
      <x:c r="B65" s="17"/>
      <x:c r="C65" s="105"/>
      <x:c r="D65" s="17"/>
      <x:c r="E65" s="17"/>
      <x:c r="F65" s="17"/>
      <x:c r="G65" s="17" t="str">
        <x:v>Not Reviewed</x:v>
      </x:c>
      <x:c r="H65" s="17" t="str">
        <x:v>P2</x:v>
      </x:c>
      <x:c r="I65" s="17" t="str">
        <x:v>No</x:v>
      </x:c>
      <x:c r="J65" s="17" t="str">
        <x:v>No</x:v>
      </x:c>
      <x:c r="K65" s="17" t="str">
        <x:v>No</x:v>
      </x:c>
      <x:c r="L65" s="17" t="str">
        <x:v>No</x:v>
      </x:c>
      <x:c r="M65" s="17" t="str">
        <x:v>No</x:v>
      </x:c>
      <x:c r="N65" s="17" t="str">
        <x:v>No</x:v>
      </x:c>
      <x:c r="O65" s="17" t="str">
        <x:v>No</x:v>
      </x:c>
      <x:c r="P65" s="17" t="str">
        <x:v>No</x:v>
      </x:c>
      <x:c r="Q65" s="17" t="str">
        <x:v>No</x:v>
      </x:c>
      <x:c r="R65" s="17"/>
      <x:c r="S65" s="17"/>
      <x:c r="T65" s="17" t="str">
        <x:v>Open</x:v>
      </x:c>
      <x:c r="U65" s="17"/>
      <x:c r="V65" s="17"/>
    </x:row>
    <x:row r="66">
      <x:c r="A66" s="17" t="str">
        <x:v>RR-062</x:v>
      </x:c>
      <x:c r="B66" s="17"/>
      <x:c r="C66" s="105"/>
      <x:c r="D66" s="17"/>
      <x:c r="E66" s="17"/>
      <x:c r="F66" s="17"/>
      <x:c r="G66" s="17" t="str">
        <x:v>Not Reviewed</x:v>
      </x:c>
      <x:c r="H66" s="17" t="str">
        <x:v>P2</x:v>
      </x:c>
      <x:c r="I66" s="17" t="str">
        <x:v>No</x:v>
      </x:c>
      <x:c r="J66" s="17" t="str">
        <x:v>No</x:v>
      </x:c>
      <x:c r="K66" s="17" t="str">
        <x:v>No</x:v>
      </x:c>
      <x:c r="L66" s="17" t="str">
        <x:v>No</x:v>
      </x:c>
      <x:c r="M66" s="17" t="str">
        <x:v>No</x:v>
      </x:c>
      <x:c r="N66" s="17" t="str">
        <x:v>No</x:v>
      </x:c>
      <x:c r="O66" s="17" t="str">
        <x:v>No</x:v>
      </x:c>
      <x:c r="P66" s="17" t="str">
        <x:v>No</x:v>
      </x:c>
      <x:c r="Q66" s="17" t="str">
        <x:v>No</x:v>
      </x:c>
      <x:c r="R66" s="17"/>
      <x:c r="S66" s="17"/>
      <x:c r="T66" s="17" t="str">
        <x:v>Open</x:v>
      </x:c>
      <x:c r="U66" s="17"/>
      <x:c r="V66" s="17"/>
    </x:row>
    <x:row r="67">
      <x:c r="A67" s="17" t="str">
        <x:v>RR-063</x:v>
      </x:c>
      <x:c r="B67" s="17"/>
      <x:c r="C67" s="105"/>
      <x:c r="D67" s="17"/>
      <x:c r="E67" s="17"/>
      <x:c r="F67" s="17"/>
      <x:c r="G67" s="17" t="str">
        <x:v>Not Reviewed</x:v>
      </x:c>
      <x:c r="H67" s="17" t="str">
        <x:v>P2</x:v>
      </x:c>
      <x:c r="I67" s="17" t="str">
        <x:v>No</x:v>
      </x:c>
      <x:c r="J67" s="17" t="str">
        <x:v>No</x:v>
      </x:c>
      <x:c r="K67" s="17" t="str">
        <x:v>No</x:v>
      </x:c>
      <x:c r="L67" s="17" t="str">
        <x:v>No</x:v>
      </x:c>
      <x:c r="M67" s="17" t="str">
        <x:v>No</x:v>
      </x:c>
      <x:c r="N67" s="17" t="str">
        <x:v>No</x:v>
      </x:c>
      <x:c r="O67" s="17" t="str">
        <x:v>No</x:v>
      </x:c>
      <x:c r="P67" s="17" t="str">
        <x:v>No</x:v>
      </x:c>
      <x:c r="Q67" s="17" t="str">
        <x:v>No</x:v>
      </x:c>
      <x:c r="R67" s="17"/>
      <x:c r="S67" s="17"/>
      <x:c r="T67" s="17" t="str">
        <x:v>Open</x:v>
      </x:c>
      <x:c r="U67" s="17"/>
      <x:c r="V67" s="17"/>
    </x:row>
    <x:row r="68">
      <x:c r="A68" s="17" t="str">
        <x:v>RR-064</x:v>
      </x:c>
      <x:c r="B68" s="17"/>
      <x:c r="C68" s="105"/>
      <x:c r="D68" s="17"/>
      <x:c r="E68" s="17"/>
      <x:c r="F68" s="17"/>
      <x:c r="G68" s="17" t="str">
        <x:v>Not Reviewed</x:v>
      </x:c>
      <x:c r="H68" s="17" t="str">
        <x:v>P2</x:v>
      </x:c>
      <x:c r="I68" s="17" t="str">
        <x:v>No</x:v>
      </x:c>
      <x:c r="J68" s="17" t="str">
        <x:v>No</x:v>
      </x:c>
      <x:c r="K68" s="17" t="str">
        <x:v>No</x:v>
      </x:c>
      <x:c r="L68" s="17" t="str">
        <x:v>No</x:v>
      </x:c>
      <x:c r="M68" s="17" t="str">
        <x:v>No</x:v>
      </x:c>
      <x:c r="N68" s="17" t="str">
        <x:v>No</x:v>
      </x:c>
      <x:c r="O68" s="17" t="str">
        <x:v>No</x:v>
      </x:c>
      <x:c r="P68" s="17" t="str">
        <x:v>No</x:v>
      </x:c>
      <x:c r="Q68" s="17" t="str">
        <x:v>No</x:v>
      </x:c>
      <x:c r="R68" s="17"/>
      <x:c r="S68" s="17"/>
      <x:c r="T68" s="17" t="str">
        <x:v>Open</x:v>
      </x:c>
      <x:c r="U68" s="17"/>
      <x:c r="V68" s="17"/>
    </x:row>
    <x:row r="69">
      <x:c r="A69" s="17" t="str">
        <x:v>RR-065</x:v>
      </x:c>
      <x:c r="B69" s="17"/>
      <x:c r="C69" s="105"/>
      <x:c r="D69" s="17"/>
      <x:c r="E69" s="17"/>
      <x:c r="F69" s="17"/>
      <x:c r="G69" s="17" t="str">
        <x:v>Not Reviewed</x:v>
      </x:c>
      <x:c r="H69" s="17" t="str">
        <x:v>P2</x:v>
      </x:c>
      <x:c r="I69" s="17" t="str">
        <x:v>No</x:v>
      </x:c>
      <x:c r="J69" s="17" t="str">
        <x:v>No</x:v>
      </x:c>
      <x:c r="K69" s="17" t="str">
        <x:v>No</x:v>
      </x:c>
      <x:c r="L69" s="17" t="str">
        <x:v>No</x:v>
      </x:c>
      <x:c r="M69" s="17" t="str">
        <x:v>No</x:v>
      </x:c>
      <x:c r="N69" s="17" t="str">
        <x:v>No</x:v>
      </x:c>
      <x:c r="O69" s="17" t="str">
        <x:v>No</x:v>
      </x:c>
      <x:c r="P69" s="17" t="str">
        <x:v>No</x:v>
      </x:c>
      <x:c r="Q69" s="17" t="str">
        <x:v>No</x:v>
      </x:c>
      <x:c r="R69" s="17"/>
      <x:c r="S69" s="17"/>
      <x:c r="T69" s="17" t="str">
        <x:v>Open</x:v>
      </x:c>
      <x:c r="U69" s="17"/>
      <x:c r="V69" s="17"/>
    </x:row>
    <x:row r="70">
      <x:c r="A70" s="17" t="str">
        <x:v>RR-066</x:v>
      </x:c>
      <x:c r="B70" s="17"/>
      <x:c r="C70" s="105"/>
      <x:c r="D70" s="17"/>
      <x:c r="E70" s="17"/>
      <x:c r="F70" s="17"/>
      <x:c r="G70" s="17" t="str">
        <x:v>Not Reviewed</x:v>
      </x:c>
      <x:c r="H70" s="17" t="str">
        <x:v>P2</x:v>
      </x:c>
      <x:c r="I70" s="17" t="str">
        <x:v>No</x:v>
      </x:c>
      <x:c r="J70" s="17" t="str">
        <x:v>No</x:v>
      </x:c>
      <x:c r="K70" s="17" t="str">
        <x:v>No</x:v>
      </x:c>
      <x:c r="L70" s="17" t="str">
        <x:v>No</x:v>
      </x:c>
      <x:c r="M70" s="17" t="str">
        <x:v>No</x:v>
      </x:c>
      <x:c r="N70" s="17" t="str">
        <x:v>No</x:v>
      </x:c>
      <x:c r="O70" s="17" t="str">
        <x:v>No</x:v>
      </x:c>
      <x:c r="P70" s="17" t="str">
        <x:v>No</x:v>
      </x:c>
      <x:c r="Q70" s="17" t="str">
        <x:v>No</x:v>
      </x:c>
      <x:c r="R70" s="17"/>
      <x:c r="S70" s="17"/>
      <x:c r="T70" s="17" t="str">
        <x:v>Open</x:v>
      </x:c>
      <x:c r="U70" s="17"/>
      <x:c r="V70" s="17"/>
    </x:row>
    <x:row r="71">
      <x:c r="A71" s="17" t="str">
        <x:v>RR-067</x:v>
      </x:c>
      <x:c r="B71" s="17"/>
      <x:c r="C71" s="105"/>
      <x:c r="D71" s="17"/>
      <x:c r="E71" s="17"/>
      <x:c r="F71" s="17"/>
      <x:c r="G71" s="17" t="str">
        <x:v>Not Reviewed</x:v>
      </x:c>
      <x:c r="H71" s="17" t="str">
        <x:v>P2</x:v>
      </x:c>
      <x:c r="I71" s="17" t="str">
        <x:v>No</x:v>
      </x:c>
      <x:c r="J71" s="17" t="str">
        <x:v>No</x:v>
      </x:c>
      <x:c r="K71" s="17" t="str">
        <x:v>No</x:v>
      </x:c>
      <x:c r="L71" s="17" t="str">
        <x:v>No</x:v>
      </x:c>
      <x:c r="M71" s="17" t="str">
        <x:v>No</x:v>
      </x:c>
      <x:c r="N71" s="17" t="str">
        <x:v>No</x:v>
      </x:c>
      <x:c r="O71" s="17" t="str">
        <x:v>No</x:v>
      </x:c>
      <x:c r="P71" s="17" t="str">
        <x:v>No</x:v>
      </x:c>
      <x:c r="Q71" s="17" t="str">
        <x:v>No</x:v>
      </x:c>
      <x:c r="R71" s="17"/>
      <x:c r="S71" s="17"/>
      <x:c r="T71" s="17" t="str">
        <x:v>Open</x:v>
      </x:c>
      <x:c r="U71" s="17"/>
      <x:c r="V71" s="17"/>
    </x:row>
    <x:row r="72">
      <x:c r="A72" s="17" t="str">
        <x:v>RR-068</x:v>
      </x:c>
      <x:c r="B72" s="17"/>
      <x:c r="C72" s="105"/>
      <x:c r="D72" s="17"/>
      <x:c r="E72" s="17"/>
      <x:c r="F72" s="17"/>
      <x:c r="G72" s="17" t="str">
        <x:v>Not Reviewed</x:v>
      </x:c>
      <x:c r="H72" s="17" t="str">
        <x:v>P2</x:v>
      </x:c>
      <x:c r="I72" s="17" t="str">
        <x:v>No</x:v>
      </x:c>
      <x:c r="J72" s="17" t="str">
        <x:v>No</x:v>
      </x:c>
      <x:c r="K72" s="17" t="str">
        <x:v>No</x:v>
      </x:c>
      <x:c r="L72" s="17" t="str">
        <x:v>No</x:v>
      </x:c>
      <x:c r="M72" s="17" t="str">
        <x:v>No</x:v>
      </x:c>
      <x:c r="N72" s="17" t="str">
        <x:v>No</x:v>
      </x:c>
      <x:c r="O72" s="17" t="str">
        <x:v>No</x:v>
      </x:c>
      <x:c r="P72" s="17" t="str">
        <x:v>No</x:v>
      </x:c>
      <x:c r="Q72" s="17" t="str">
        <x:v>No</x:v>
      </x:c>
      <x:c r="R72" s="17"/>
      <x:c r="S72" s="17"/>
      <x:c r="T72" s="17" t="str">
        <x:v>Open</x:v>
      </x:c>
      <x:c r="U72" s="17"/>
      <x:c r="V72" s="17"/>
    </x:row>
    <x:row r="73">
      <x:c r="A73" s="17" t="str">
        <x:v>RR-069</x:v>
      </x:c>
      <x:c r="B73" s="17"/>
      <x:c r="C73" s="105"/>
      <x:c r="D73" s="17"/>
      <x:c r="E73" s="17"/>
      <x:c r="F73" s="17"/>
      <x:c r="G73" s="17" t="str">
        <x:v>Not Reviewed</x:v>
      </x:c>
      <x:c r="H73" s="17" t="str">
        <x:v>P2</x:v>
      </x:c>
      <x:c r="I73" s="17" t="str">
        <x:v>No</x:v>
      </x:c>
      <x:c r="J73" s="17" t="str">
        <x:v>No</x:v>
      </x:c>
      <x:c r="K73" s="17" t="str">
        <x:v>No</x:v>
      </x:c>
      <x:c r="L73" s="17" t="str">
        <x:v>No</x:v>
      </x:c>
      <x:c r="M73" s="17" t="str">
        <x:v>No</x:v>
      </x:c>
      <x:c r="N73" s="17" t="str">
        <x:v>No</x:v>
      </x:c>
      <x:c r="O73" s="17" t="str">
        <x:v>No</x:v>
      </x:c>
      <x:c r="P73" s="17" t="str">
        <x:v>No</x:v>
      </x:c>
      <x:c r="Q73" s="17" t="str">
        <x:v>No</x:v>
      </x:c>
      <x:c r="R73" s="17"/>
      <x:c r="S73" s="17"/>
      <x:c r="T73" s="17" t="str">
        <x:v>Open</x:v>
      </x:c>
      <x:c r="U73" s="17"/>
      <x:c r="V73" s="17"/>
    </x:row>
    <x:row r="74">
      <x:c r="A74" s="17" t="str">
        <x:v>RR-070</x:v>
      </x:c>
      <x:c r="B74" s="17"/>
      <x:c r="C74" s="105"/>
      <x:c r="D74" s="17"/>
      <x:c r="E74" s="17"/>
      <x:c r="F74" s="17"/>
      <x:c r="G74" s="17" t="str">
        <x:v>Not Reviewed</x:v>
      </x:c>
      <x:c r="H74" s="17" t="str">
        <x:v>P2</x:v>
      </x:c>
      <x:c r="I74" s="17" t="str">
        <x:v>No</x:v>
      </x:c>
      <x:c r="J74" s="17" t="str">
        <x:v>No</x:v>
      </x:c>
      <x:c r="K74" s="17" t="str">
        <x:v>No</x:v>
      </x:c>
      <x:c r="L74" s="17" t="str">
        <x:v>No</x:v>
      </x:c>
      <x:c r="M74" s="17" t="str">
        <x:v>No</x:v>
      </x:c>
      <x:c r="N74" s="17" t="str">
        <x:v>No</x:v>
      </x:c>
      <x:c r="O74" s="17" t="str">
        <x:v>No</x:v>
      </x:c>
      <x:c r="P74" s="17" t="str">
        <x:v>No</x:v>
      </x:c>
      <x:c r="Q74" s="17" t="str">
        <x:v>No</x:v>
      </x:c>
      <x:c r="R74" s="17"/>
      <x:c r="S74" s="17"/>
      <x:c r="T74" s="17" t="str">
        <x:v>Open</x:v>
      </x:c>
      <x:c r="U74" s="17"/>
      <x:c r="V74" s="17"/>
    </x:row>
    <x:row r="75">
      <x:c r="A75" s="17" t="str">
        <x:v>RR-071</x:v>
      </x:c>
      <x:c r="B75" s="17"/>
      <x:c r="C75" s="105"/>
      <x:c r="D75" s="17"/>
      <x:c r="E75" s="17"/>
      <x:c r="F75" s="17"/>
      <x:c r="G75" s="17" t="str">
        <x:v>Not Reviewed</x:v>
      </x:c>
      <x:c r="H75" s="17" t="str">
        <x:v>P2</x:v>
      </x:c>
      <x:c r="I75" s="17" t="str">
        <x:v>No</x:v>
      </x:c>
      <x:c r="J75" s="17" t="str">
        <x:v>No</x:v>
      </x:c>
      <x:c r="K75" s="17" t="str">
        <x:v>No</x:v>
      </x:c>
      <x:c r="L75" s="17" t="str">
        <x:v>No</x:v>
      </x:c>
      <x:c r="M75" s="17" t="str">
        <x:v>No</x:v>
      </x:c>
      <x:c r="N75" s="17" t="str">
        <x:v>No</x:v>
      </x:c>
      <x:c r="O75" s="17" t="str">
        <x:v>No</x:v>
      </x:c>
      <x:c r="P75" s="17" t="str">
        <x:v>No</x:v>
      </x:c>
      <x:c r="Q75" s="17" t="str">
        <x:v>No</x:v>
      </x:c>
      <x:c r="R75" s="17"/>
      <x:c r="S75" s="17"/>
      <x:c r="T75" s="17" t="str">
        <x:v>Open</x:v>
      </x:c>
      <x:c r="U75" s="17"/>
      <x:c r="V75" s="17"/>
    </x:row>
    <x:row r="76">
      <x:c r="A76" s="17" t="str">
        <x:v>RR-072</x:v>
      </x:c>
      <x:c r="B76" s="17"/>
      <x:c r="C76" s="105"/>
      <x:c r="D76" s="17"/>
      <x:c r="E76" s="17"/>
      <x:c r="F76" s="17"/>
      <x:c r="G76" s="17" t="str">
        <x:v>Not Reviewed</x:v>
      </x:c>
      <x:c r="H76" s="17" t="str">
        <x:v>P2</x:v>
      </x:c>
      <x:c r="I76" s="17" t="str">
        <x:v>No</x:v>
      </x:c>
      <x:c r="J76" s="17" t="str">
        <x:v>No</x:v>
      </x:c>
      <x:c r="K76" s="17" t="str">
        <x:v>No</x:v>
      </x:c>
      <x:c r="L76" s="17" t="str">
        <x:v>No</x:v>
      </x:c>
      <x:c r="M76" s="17" t="str">
        <x:v>No</x:v>
      </x:c>
      <x:c r="N76" s="17" t="str">
        <x:v>No</x:v>
      </x:c>
      <x:c r="O76" s="17" t="str">
        <x:v>No</x:v>
      </x:c>
      <x:c r="P76" s="17" t="str">
        <x:v>No</x:v>
      </x:c>
      <x:c r="Q76" s="17" t="str">
        <x:v>No</x:v>
      </x:c>
      <x:c r="R76" s="17"/>
      <x:c r="S76" s="17"/>
      <x:c r="T76" s="17" t="str">
        <x:v>Open</x:v>
      </x:c>
      <x:c r="U76" s="17"/>
      <x:c r="V76" s="17"/>
    </x:row>
    <x:row r="77">
      <x:c r="A77" s="17" t="str">
        <x:v>RR-073</x:v>
      </x:c>
      <x:c r="B77" s="17"/>
      <x:c r="C77" s="105"/>
      <x:c r="D77" s="17"/>
      <x:c r="E77" s="17"/>
      <x:c r="F77" s="17"/>
      <x:c r="G77" s="17" t="str">
        <x:v>Not Reviewed</x:v>
      </x:c>
      <x:c r="H77" s="17" t="str">
        <x:v>P2</x:v>
      </x:c>
      <x:c r="I77" s="17" t="str">
        <x:v>No</x:v>
      </x:c>
      <x:c r="J77" s="17" t="str">
        <x:v>No</x:v>
      </x:c>
      <x:c r="K77" s="17" t="str">
        <x:v>No</x:v>
      </x:c>
      <x:c r="L77" s="17" t="str">
        <x:v>No</x:v>
      </x:c>
      <x:c r="M77" s="17" t="str">
        <x:v>No</x:v>
      </x:c>
      <x:c r="N77" s="17" t="str">
        <x:v>No</x:v>
      </x:c>
      <x:c r="O77" s="17" t="str">
        <x:v>No</x:v>
      </x:c>
      <x:c r="P77" s="17" t="str">
        <x:v>No</x:v>
      </x:c>
      <x:c r="Q77" s="17" t="str">
        <x:v>No</x:v>
      </x:c>
      <x:c r="R77" s="17"/>
      <x:c r="S77" s="17"/>
      <x:c r="T77" s="17" t="str">
        <x:v>Open</x:v>
      </x:c>
      <x:c r="U77" s="17"/>
      <x:c r="V77" s="17"/>
    </x:row>
    <x:row r="78">
      <x:c r="A78" s="17" t="str">
        <x:v>RR-074</x:v>
      </x:c>
      <x:c r="B78" s="17"/>
      <x:c r="C78" s="105"/>
      <x:c r="D78" s="17"/>
      <x:c r="E78" s="17"/>
      <x:c r="F78" s="17"/>
      <x:c r="G78" s="17" t="str">
        <x:v>Not Reviewed</x:v>
      </x:c>
      <x:c r="H78" s="17" t="str">
        <x:v>P2</x:v>
      </x:c>
      <x:c r="I78" s="17" t="str">
        <x:v>No</x:v>
      </x:c>
      <x:c r="J78" s="17" t="str">
        <x:v>No</x:v>
      </x:c>
      <x:c r="K78" s="17" t="str">
        <x:v>No</x:v>
      </x:c>
      <x:c r="L78" s="17" t="str">
        <x:v>No</x:v>
      </x:c>
      <x:c r="M78" s="17" t="str">
        <x:v>No</x:v>
      </x:c>
      <x:c r="N78" s="17" t="str">
        <x:v>No</x:v>
      </x:c>
      <x:c r="O78" s="17" t="str">
        <x:v>No</x:v>
      </x:c>
      <x:c r="P78" s="17" t="str">
        <x:v>No</x:v>
      </x:c>
      <x:c r="Q78" s="17" t="str">
        <x:v>No</x:v>
      </x:c>
      <x:c r="R78" s="17"/>
      <x:c r="S78" s="17"/>
      <x:c r="T78" s="17" t="str">
        <x:v>Open</x:v>
      </x:c>
      <x:c r="U78" s="17"/>
      <x:c r="V78" s="17"/>
    </x:row>
    <x:row r="79">
      <x:c r="A79" s="17" t="str">
        <x:v>RR-075</x:v>
      </x:c>
      <x:c r="B79" s="17"/>
      <x:c r="C79" s="105"/>
      <x:c r="D79" s="17"/>
      <x:c r="E79" s="17"/>
      <x:c r="F79" s="17"/>
      <x:c r="G79" s="17" t="str">
        <x:v>Not Reviewed</x:v>
      </x:c>
      <x:c r="H79" s="17" t="str">
        <x:v>P2</x:v>
      </x:c>
      <x:c r="I79" s="17" t="str">
        <x:v>No</x:v>
      </x:c>
      <x:c r="J79" s="17" t="str">
        <x:v>No</x:v>
      </x:c>
      <x:c r="K79" s="17" t="str">
        <x:v>No</x:v>
      </x:c>
      <x:c r="L79" s="17" t="str">
        <x:v>No</x:v>
      </x:c>
      <x:c r="M79" s="17" t="str">
        <x:v>No</x:v>
      </x:c>
      <x:c r="N79" s="17" t="str">
        <x:v>No</x:v>
      </x:c>
      <x:c r="O79" s="17" t="str">
        <x:v>No</x:v>
      </x:c>
      <x:c r="P79" s="17" t="str">
        <x:v>No</x:v>
      </x:c>
      <x:c r="Q79" s="17" t="str">
        <x:v>No</x:v>
      </x:c>
      <x:c r="R79" s="17"/>
      <x:c r="S79" s="17"/>
      <x:c r="T79" s="17" t="str">
        <x:v>Open</x:v>
      </x:c>
      <x:c r="U79" s="17"/>
      <x:c r="V79" s="17"/>
    </x:row>
    <x:row r="80">
      <x:c r="A80" s="17" t="str">
        <x:v>RR-076</x:v>
      </x:c>
      <x:c r="B80" s="17"/>
      <x:c r="C80" s="105"/>
      <x:c r="D80" s="17"/>
      <x:c r="E80" s="17"/>
      <x:c r="F80" s="17"/>
      <x:c r="G80" s="17" t="str">
        <x:v>Not Reviewed</x:v>
      </x:c>
      <x:c r="H80" s="17" t="str">
        <x:v>P2</x:v>
      </x:c>
      <x:c r="I80" s="17" t="str">
        <x:v>No</x:v>
      </x:c>
      <x:c r="J80" s="17" t="str">
        <x:v>No</x:v>
      </x:c>
      <x:c r="K80" s="17" t="str">
        <x:v>No</x:v>
      </x:c>
      <x:c r="L80" s="17" t="str">
        <x:v>No</x:v>
      </x:c>
      <x:c r="M80" s="17" t="str">
        <x:v>No</x:v>
      </x:c>
      <x:c r="N80" s="17" t="str">
        <x:v>No</x:v>
      </x:c>
      <x:c r="O80" s="17" t="str">
        <x:v>No</x:v>
      </x:c>
      <x:c r="P80" s="17" t="str">
        <x:v>No</x:v>
      </x:c>
      <x:c r="Q80" s="17" t="str">
        <x:v>No</x:v>
      </x:c>
      <x:c r="R80" s="17"/>
      <x:c r="S80" s="17"/>
      <x:c r="T80" s="17" t="str">
        <x:v>Open</x:v>
      </x:c>
      <x:c r="U80" s="17"/>
      <x:c r="V80" s="17"/>
    </x:row>
    <x:row r="81">
      <x:c r="A81" s="17" t="str">
        <x:v>RR-077</x:v>
      </x:c>
      <x:c r="B81" s="17"/>
      <x:c r="C81" s="105"/>
      <x:c r="D81" s="17"/>
      <x:c r="E81" s="17"/>
      <x:c r="F81" s="17"/>
      <x:c r="G81" s="17" t="str">
        <x:v>Not Reviewed</x:v>
      </x:c>
      <x:c r="H81" s="17" t="str">
        <x:v>P2</x:v>
      </x:c>
      <x:c r="I81" s="17" t="str">
        <x:v>No</x:v>
      </x:c>
      <x:c r="J81" s="17" t="str">
        <x:v>No</x:v>
      </x:c>
      <x:c r="K81" s="17" t="str">
        <x:v>No</x:v>
      </x:c>
      <x:c r="L81" s="17" t="str">
        <x:v>No</x:v>
      </x:c>
      <x:c r="M81" s="17" t="str">
        <x:v>No</x:v>
      </x:c>
      <x:c r="N81" s="17" t="str">
        <x:v>No</x:v>
      </x:c>
      <x:c r="O81" s="17" t="str">
        <x:v>No</x:v>
      </x:c>
      <x:c r="P81" s="17" t="str">
        <x:v>No</x:v>
      </x:c>
      <x:c r="Q81" s="17" t="str">
        <x:v>No</x:v>
      </x:c>
      <x:c r="R81" s="17"/>
      <x:c r="S81" s="17"/>
      <x:c r="T81" s="17" t="str">
        <x:v>Open</x:v>
      </x:c>
      <x:c r="U81" s="17"/>
      <x:c r="V81" s="17"/>
    </x:row>
    <x:row r="82">
      <x:c r="A82" s="17" t="str">
        <x:v>RR-078</x:v>
      </x:c>
      <x:c r="B82" s="17"/>
      <x:c r="C82" s="105"/>
      <x:c r="D82" s="17"/>
      <x:c r="E82" s="17"/>
      <x:c r="F82" s="17"/>
      <x:c r="G82" s="17" t="str">
        <x:v>Not Reviewed</x:v>
      </x:c>
      <x:c r="H82" s="17" t="str">
        <x:v>P2</x:v>
      </x:c>
      <x:c r="I82" s="17" t="str">
        <x:v>No</x:v>
      </x:c>
      <x:c r="J82" s="17" t="str">
        <x:v>No</x:v>
      </x:c>
      <x:c r="K82" s="17" t="str">
        <x:v>No</x:v>
      </x:c>
      <x:c r="L82" s="17" t="str">
        <x:v>No</x:v>
      </x:c>
      <x:c r="M82" s="17" t="str">
        <x:v>No</x:v>
      </x:c>
      <x:c r="N82" s="17" t="str">
        <x:v>No</x:v>
      </x:c>
      <x:c r="O82" s="17" t="str">
        <x:v>No</x:v>
      </x:c>
      <x:c r="P82" s="17" t="str">
        <x:v>No</x:v>
      </x:c>
      <x:c r="Q82" s="17" t="str">
        <x:v>No</x:v>
      </x:c>
      <x:c r="R82" s="17"/>
      <x:c r="S82" s="17"/>
      <x:c r="T82" s="17" t="str">
        <x:v>Open</x:v>
      </x:c>
      <x:c r="U82" s="17"/>
      <x:c r="V82" s="17"/>
    </x:row>
    <x:row r="83">
      <x:c r="A83" s="17" t="str">
        <x:v>RR-079</x:v>
      </x:c>
      <x:c r="B83" s="17"/>
      <x:c r="C83" s="105"/>
      <x:c r="D83" s="17"/>
      <x:c r="E83" s="17"/>
      <x:c r="F83" s="17"/>
      <x:c r="G83" s="17" t="str">
        <x:v>Not Reviewed</x:v>
      </x:c>
      <x:c r="H83" s="17" t="str">
        <x:v>P2</x:v>
      </x:c>
      <x:c r="I83" s="17" t="str">
        <x:v>No</x:v>
      </x:c>
      <x:c r="J83" s="17" t="str">
        <x:v>No</x:v>
      </x:c>
      <x:c r="K83" s="17" t="str">
        <x:v>No</x:v>
      </x:c>
      <x:c r="L83" s="17" t="str">
        <x:v>No</x:v>
      </x:c>
      <x:c r="M83" s="17" t="str">
        <x:v>No</x:v>
      </x:c>
      <x:c r="N83" s="17" t="str">
        <x:v>No</x:v>
      </x:c>
      <x:c r="O83" s="17" t="str">
        <x:v>No</x:v>
      </x:c>
      <x:c r="P83" s="17" t="str">
        <x:v>No</x:v>
      </x:c>
      <x:c r="Q83" s="17" t="str">
        <x:v>No</x:v>
      </x:c>
      <x:c r="R83" s="17"/>
      <x:c r="S83" s="17"/>
      <x:c r="T83" s="17" t="str">
        <x:v>Open</x:v>
      </x:c>
      <x:c r="U83" s="17"/>
      <x:c r="V83" s="17"/>
    </x:row>
    <x:row r="84">
      <x:c r="A84" s="17" t="str">
        <x:v>RR-080</x:v>
      </x:c>
      <x:c r="B84" s="17"/>
      <x:c r="C84" s="105"/>
      <x:c r="D84" s="17"/>
      <x:c r="E84" s="17"/>
      <x:c r="F84" s="17"/>
      <x:c r="G84" s="17" t="str">
        <x:v>Not Reviewed</x:v>
      </x:c>
      <x:c r="H84" s="17" t="str">
        <x:v>P2</x:v>
      </x:c>
      <x:c r="I84" s="17" t="str">
        <x:v>No</x:v>
      </x:c>
      <x:c r="J84" s="17" t="str">
        <x:v>No</x:v>
      </x:c>
      <x:c r="K84" s="17" t="str">
        <x:v>No</x:v>
      </x:c>
      <x:c r="L84" s="17" t="str">
        <x:v>No</x:v>
      </x:c>
      <x:c r="M84" s="17" t="str">
        <x:v>No</x:v>
      </x:c>
      <x:c r="N84" s="17" t="str">
        <x:v>No</x:v>
      </x:c>
      <x:c r="O84" s="17" t="str">
        <x:v>No</x:v>
      </x:c>
      <x:c r="P84" s="17" t="str">
        <x:v>No</x:v>
      </x:c>
      <x:c r="Q84" s="17" t="str">
        <x:v>No</x:v>
      </x:c>
      <x:c r="R84" s="17"/>
      <x:c r="S84" s="17"/>
      <x:c r="T84" s="17" t="str">
        <x:v>Open</x:v>
      </x:c>
      <x:c r="U84" s="17"/>
      <x:c r="V84" s="17"/>
    </x:row>
    <x:row r="85">
      <x:c r="A85" s="17" t="str">
        <x:v>RR-081</x:v>
      </x:c>
      <x:c r="B85" s="17"/>
      <x:c r="C85" s="105"/>
      <x:c r="D85" s="17"/>
      <x:c r="E85" s="17"/>
      <x:c r="F85" s="17"/>
      <x:c r="G85" s="17" t="str">
        <x:v>Not Reviewed</x:v>
      </x:c>
      <x:c r="H85" s="17" t="str">
        <x:v>P2</x:v>
      </x:c>
      <x:c r="I85" s="17" t="str">
        <x:v>No</x:v>
      </x:c>
      <x:c r="J85" s="17" t="str">
        <x:v>No</x:v>
      </x:c>
      <x:c r="K85" s="17" t="str">
        <x:v>No</x:v>
      </x:c>
      <x:c r="L85" s="17" t="str">
        <x:v>No</x:v>
      </x:c>
      <x:c r="M85" s="17" t="str">
        <x:v>No</x:v>
      </x:c>
      <x:c r="N85" s="17" t="str">
        <x:v>No</x:v>
      </x:c>
      <x:c r="O85" s="17" t="str">
        <x:v>No</x:v>
      </x:c>
      <x:c r="P85" s="17" t="str">
        <x:v>No</x:v>
      </x:c>
      <x:c r="Q85" s="17" t="str">
        <x:v>No</x:v>
      </x:c>
      <x:c r="R85" s="17"/>
      <x:c r="S85" s="17"/>
      <x:c r="T85" s="17" t="str">
        <x:v>Open</x:v>
      </x:c>
      <x:c r="U85" s="17"/>
      <x:c r="V85" s="17"/>
    </x:row>
    <x:row r="86">
      <x:c r="A86" s="17" t="str">
        <x:v>RR-082</x:v>
      </x:c>
      <x:c r="B86" s="17"/>
      <x:c r="C86" s="105"/>
      <x:c r="D86" s="17"/>
      <x:c r="E86" s="17"/>
      <x:c r="F86" s="17"/>
      <x:c r="G86" s="17" t="str">
        <x:v>Not Reviewed</x:v>
      </x:c>
      <x:c r="H86" s="17" t="str">
        <x:v>P2</x:v>
      </x:c>
      <x:c r="I86" s="17" t="str">
        <x:v>No</x:v>
      </x:c>
      <x:c r="J86" s="17" t="str">
        <x:v>No</x:v>
      </x:c>
      <x:c r="K86" s="17" t="str">
        <x:v>No</x:v>
      </x:c>
      <x:c r="L86" s="17" t="str">
        <x:v>No</x:v>
      </x:c>
      <x:c r="M86" s="17" t="str">
        <x:v>No</x:v>
      </x:c>
      <x:c r="N86" s="17" t="str">
        <x:v>No</x:v>
      </x:c>
      <x:c r="O86" s="17" t="str">
        <x:v>No</x:v>
      </x:c>
      <x:c r="P86" s="17" t="str">
        <x:v>No</x:v>
      </x:c>
      <x:c r="Q86" s="17" t="str">
        <x:v>No</x:v>
      </x:c>
      <x:c r="R86" s="17"/>
      <x:c r="S86" s="17"/>
      <x:c r="T86" s="17" t="str">
        <x:v>Open</x:v>
      </x:c>
      <x:c r="U86" s="17"/>
      <x:c r="V86" s="17"/>
    </x:row>
    <x:row r="87">
      <x:c r="A87" s="17" t="str">
        <x:v>RR-083</x:v>
      </x:c>
      <x:c r="B87" s="17"/>
      <x:c r="C87" s="105"/>
      <x:c r="D87" s="17"/>
      <x:c r="E87" s="17"/>
      <x:c r="F87" s="17"/>
      <x:c r="G87" s="17" t="str">
        <x:v>Not Reviewed</x:v>
      </x:c>
      <x:c r="H87" s="17" t="str">
        <x:v>P2</x:v>
      </x:c>
      <x:c r="I87" s="17" t="str">
        <x:v>No</x:v>
      </x:c>
      <x:c r="J87" s="17" t="str">
        <x:v>No</x:v>
      </x:c>
      <x:c r="K87" s="17" t="str">
        <x:v>No</x:v>
      </x:c>
      <x:c r="L87" s="17" t="str">
        <x:v>No</x:v>
      </x:c>
      <x:c r="M87" s="17" t="str">
        <x:v>No</x:v>
      </x:c>
      <x:c r="N87" s="17" t="str">
        <x:v>No</x:v>
      </x:c>
      <x:c r="O87" s="17" t="str">
        <x:v>No</x:v>
      </x:c>
      <x:c r="P87" s="17" t="str">
        <x:v>No</x:v>
      </x:c>
      <x:c r="Q87" s="17" t="str">
        <x:v>No</x:v>
      </x:c>
      <x:c r="R87" s="17"/>
      <x:c r="S87" s="17"/>
      <x:c r="T87" s="17" t="str">
        <x:v>Open</x:v>
      </x:c>
      <x:c r="U87" s="17"/>
      <x:c r="V87" s="17"/>
    </x:row>
    <x:row r="88">
      <x:c r="A88" s="17" t="str">
        <x:v>RR-084</x:v>
      </x:c>
      <x:c r="B88" s="17"/>
      <x:c r="C88" s="105"/>
      <x:c r="D88" s="17"/>
      <x:c r="E88" s="17"/>
      <x:c r="F88" s="17"/>
      <x:c r="G88" s="17" t="str">
        <x:v>Not Reviewed</x:v>
      </x:c>
      <x:c r="H88" s="17" t="str">
        <x:v>P2</x:v>
      </x:c>
      <x:c r="I88" s="17" t="str">
        <x:v>No</x:v>
      </x:c>
      <x:c r="J88" s="17" t="str">
        <x:v>No</x:v>
      </x:c>
      <x:c r="K88" s="17" t="str">
        <x:v>No</x:v>
      </x:c>
      <x:c r="L88" s="17" t="str">
        <x:v>No</x:v>
      </x:c>
      <x:c r="M88" s="17" t="str">
        <x:v>No</x:v>
      </x:c>
      <x:c r="N88" s="17" t="str">
        <x:v>No</x:v>
      </x:c>
      <x:c r="O88" s="17" t="str">
        <x:v>No</x:v>
      </x:c>
      <x:c r="P88" s="17" t="str">
        <x:v>No</x:v>
      </x:c>
      <x:c r="Q88" s="17" t="str">
        <x:v>No</x:v>
      </x:c>
      <x:c r="R88" s="17"/>
      <x:c r="S88" s="17"/>
      <x:c r="T88" s="17" t="str">
        <x:v>Open</x:v>
      </x:c>
      <x:c r="U88" s="17"/>
      <x:c r="V88" s="17"/>
    </x:row>
    <x:row r="89">
      <x:c r="A89" s="17" t="str">
        <x:v>RR-085</x:v>
      </x:c>
      <x:c r="B89" s="17"/>
      <x:c r="C89" s="105"/>
      <x:c r="D89" s="17"/>
      <x:c r="E89" s="17"/>
      <x:c r="F89" s="17"/>
      <x:c r="G89" s="17" t="str">
        <x:v>Not Reviewed</x:v>
      </x:c>
      <x:c r="H89" s="17" t="str">
        <x:v>P2</x:v>
      </x:c>
      <x:c r="I89" s="17" t="str">
        <x:v>No</x:v>
      </x:c>
      <x:c r="J89" s="17" t="str">
        <x:v>No</x:v>
      </x:c>
      <x:c r="K89" s="17" t="str">
        <x:v>No</x:v>
      </x:c>
      <x:c r="L89" s="17" t="str">
        <x:v>No</x:v>
      </x:c>
      <x:c r="M89" s="17" t="str">
        <x:v>No</x:v>
      </x:c>
      <x:c r="N89" s="17" t="str">
        <x:v>No</x:v>
      </x:c>
      <x:c r="O89" s="17" t="str">
        <x:v>No</x:v>
      </x:c>
      <x:c r="P89" s="17" t="str">
        <x:v>No</x:v>
      </x:c>
      <x:c r="Q89" s="17" t="str">
        <x:v>No</x:v>
      </x:c>
      <x:c r="R89" s="17"/>
      <x:c r="S89" s="17"/>
      <x:c r="T89" s="17" t="str">
        <x:v>Open</x:v>
      </x:c>
      <x:c r="U89" s="17"/>
      <x:c r="V89" s="17"/>
    </x:row>
    <x:row r="90">
      <x:c r="A90" s="17" t="str">
        <x:v>RR-086</x:v>
      </x:c>
      <x:c r="B90" s="17"/>
      <x:c r="C90" s="105"/>
      <x:c r="D90" s="17"/>
      <x:c r="E90" s="17"/>
      <x:c r="F90" s="17"/>
      <x:c r="G90" s="17" t="str">
        <x:v>Not Reviewed</x:v>
      </x:c>
      <x:c r="H90" s="17" t="str">
        <x:v>P2</x:v>
      </x:c>
      <x:c r="I90" s="17" t="str">
        <x:v>No</x:v>
      </x:c>
      <x:c r="J90" s="17" t="str">
        <x:v>No</x:v>
      </x:c>
      <x:c r="K90" s="17" t="str">
        <x:v>No</x:v>
      </x:c>
      <x:c r="L90" s="17" t="str">
        <x:v>No</x:v>
      </x:c>
      <x:c r="M90" s="17" t="str">
        <x:v>No</x:v>
      </x:c>
      <x:c r="N90" s="17" t="str">
        <x:v>No</x:v>
      </x:c>
      <x:c r="O90" s="17" t="str">
        <x:v>No</x:v>
      </x:c>
      <x:c r="P90" s="17" t="str">
        <x:v>No</x:v>
      </x:c>
      <x:c r="Q90" s="17" t="str">
        <x:v>No</x:v>
      </x:c>
      <x:c r="R90" s="17"/>
      <x:c r="S90" s="17"/>
      <x:c r="T90" s="17" t="str">
        <x:v>Open</x:v>
      </x:c>
      <x:c r="U90" s="17"/>
      <x:c r="V90" s="17"/>
    </x:row>
    <x:row r="91">
      <x:c r="A91" s="17" t="str">
        <x:v>RR-087</x:v>
      </x:c>
      <x:c r="B91" s="17"/>
      <x:c r="C91" s="105"/>
      <x:c r="D91" s="17"/>
      <x:c r="E91" s="17"/>
      <x:c r="F91" s="17"/>
      <x:c r="G91" s="17" t="str">
        <x:v>Not Reviewed</x:v>
      </x:c>
      <x:c r="H91" s="17" t="str">
        <x:v>P2</x:v>
      </x:c>
      <x:c r="I91" s="17" t="str">
        <x:v>No</x:v>
      </x:c>
      <x:c r="J91" s="17" t="str">
        <x:v>No</x:v>
      </x:c>
      <x:c r="K91" s="17" t="str">
        <x:v>No</x:v>
      </x:c>
      <x:c r="L91" s="17" t="str">
        <x:v>No</x:v>
      </x:c>
      <x:c r="M91" s="17" t="str">
        <x:v>No</x:v>
      </x:c>
      <x:c r="N91" s="17" t="str">
        <x:v>No</x:v>
      </x:c>
      <x:c r="O91" s="17" t="str">
        <x:v>No</x:v>
      </x:c>
      <x:c r="P91" s="17" t="str">
        <x:v>No</x:v>
      </x:c>
      <x:c r="Q91" s="17" t="str">
        <x:v>No</x:v>
      </x:c>
      <x:c r="R91" s="17"/>
      <x:c r="S91" s="17"/>
      <x:c r="T91" s="17" t="str">
        <x:v>Open</x:v>
      </x:c>
      <x:c r="U91" s="17"/>
      <x:c r="V91" s="17"/>
    </x:row>
    <x:row r="92">
      <x:c r="A92" s="17" t="str">
        <x:v>RR-088</x:v>
      </x:c>
      <x:c r="B92" s="17"/>
      <x:c r="C92" s="105"/>
      <x:c r="D92" s="17"/>
      <x:c r="E92" s="17"/>
      <x:c r="F92" s="17"/>
      <x:c r="G92" s="17" t="str">
        <x:v>Not Reviewed</x:v>
      </x:c>
      <x:c r="H92" s="17" t="str">
        <x:v>P2</x:v>
      </x:c>
      <x:c r="I92" s="17" t="str">
        <x:v>No</x:v>
      </x:c>
      <x:c r="J92" s="17" t="str">
        <x:v>No</x:v>
      </x:c>
      <x:c r="K92" s="17" t="str">
        <x:v>No</x:v>
      </x:c>
      <x:c r="L92" s="17" t="str">
        <x:v>No</x:v>
      </x:c>
      <x:c r="M92" s="17" t="str">
        <x:v>No</x:v>
      </x:c>
      <x:c r="N92" s="17" t="str">
        <x:v>No</x:v>
      </x:c>
      <x:c r="O92" s="17" t="str">
        <x:v>No</x:v>
      </x:c>
      <x:c r="P92" s="17" t="str">
        <x:v>No</x:v>
      </x:c>
      <x:c r="Q92" s="17" t="str">
        <x:v>No</x:v>
      </x:c>
      <x:c r="R92" s="17"/>
      <x:c r="S92" s="17"/>
      <x:c r="T92" s="17" t="str">
        <x:v>Open</x:v>
      </x:c>
      <x:c r="U92" s="17"/>
      <x:c r="V92" s="17"/>
    </x:row>
    <x:row r="93">
      <x:c r="A93" s="17" t="str">
        <x:v>RR-089</x:v>
      </x:c>
      <x:c r="B93" s="17"/>
      <x:c r="C93" s="105"/>
      <x:c r="D93" s="17"/>
      <x:c r="E93" s="17"/>
      <x:c r="F93" s="17"/>
      <x:c r="G93" s="17" t="str">
        <x:v>Not Reviewed</x:v>
      </x:c>
      <x:c r="H93" s="17" t="str">
        <x:v>P2</x:v>
      </x:c>
      <x:c r="I93" s="17" t="str">
        <x:v>No</x:v>
      </x:c>
      <x:c r="J93" s="17" t="str">
        <x:v>No</x:v>
      </x:c>
      <x:c r="K93" s="17" t="str">
        <x:v>No</x:v>
      </x:c>
      <x:c r="L93" s="17" t="str">
        <x:v>No</x:v>
      </x:c>
      <x:c r="M93" s="17" t="str">
        <x:v>No</x:v>
      </x:c>
      <x:c r="N93" s="17" t="str">
        <x:v>No</x:v>
      </x:c>
      <x:c r="O93" s="17" t="str">
        <x:v>No</x:v>
      </x:c>
      <x:c r="P93" s="17" t="str">
        <x:v>No</x:v>
      </x:c>
      <x:c r="Q93" s="17" t="str">
        <x:v>No</x:v>
      </x:c>
      <x:c r="R93" s="17"/>
      <x:c r="S93" s="17"/>
      <x:c r="T93" s="17" t="str">
        <x:v>Open</x:v>
      </x:c>
      <x:c r="U93" s="17"/>
      <x:c r="V93" s="17"/>
    </x:row>
    <x:row r="94">
      <x:c r="A94" s="17" t="str">
        <x:v>RR-090</x:v>
      </x:c>
      <x:c r="B94" s="17"/>
      <x:c r="C94" s="105"/>
      <x:c r="D94" s="17"/>
      <x:c r="E94" s="17"/>
      <x:c r="F94" s="17"/>
      <x:c r="G94" s="17" t="str">
        <x:v>Not Reviewed</x:v>
      </x:c>
      <x:c r="H94" s="17" t="str">
        <x:v>P2</x:v>
      </x:c>
      <x:c r="I94" s="17" t="str">
        <x:v>No</x:v>
      </x:c>
      <x:c r="J94" s="17" t="str">
        <x:v>No</x:v>
      </x:c>
      <x:c r="K94" s="17" t="str">
        <x:v>No</x:v>
      </x:c>
      <x:c r="L94" s="17" t="str">
        <x:v>No</x:v>
      </x:c>
      <x:c r="M94" s="17" t="str">
        <x:v>No</x:v>
      </x:c>
      <x:c r="N94" s="17" t="str">
        <x:v>No</x:v>
      </x:c>
      <x:c r="O94" s="17" t="str">
        <x:v>No</x:v>
      </x:c>
      <x:c r="P94" s="17" t="str">
        <x:v>No</x:v>
      </x:c>
      <x:c r="Q94" s="17" t="str">
        <x:v>No</x:v>
      </x:c>
      <x:c r="R94" s="17"/>
      <x:c r="S94" s="17"/>
      <x:c r="T94" s="17" t="str">
        <x:v>Open</x:v>
      </x:c>
      <x:c r="U94" s="17"/>
      <x:c r="V94" s="17"/>
    </x:row>
    <x:row r="95">
      <x:c r="A95" s="17" t="str">
        <x:v>RR-091</x:v>
      </x:c>
      <x:c r="B95" s="17"/>
      <x:c r="C95" s="105"/>
      <x:c r="D95" s="17"/>
      <x:c r="E95" s="17"/>
      <x:c r="F95" s="17"/>
      <x:c r="G95" s="17" t="str">
        <x:v>Not Reviewed</x:v>
      </x:c>
      <x:c r="H95" s="17" t="str">
        <x:v>P2</x:v>
      </x:c>
      <x:c r="I95" s="17" t="str">
        <x:v>No</x:v>
      </x:c>
      <x:c r="J95" s="17" t="str">
        <x:v>No</x:v>
      </x:c>
      <x:c r="K95" s="17" t="str">
        <x:v>No</x:v>
      </x:c>
      <x:c r="L95" s="17" t="str">
        <x:v>No</x:v>
      </x:c>
      <x:c r="M95" s="17" t="str">
        <x:v>No</x:v>
      </x:c>
      <x:c r="N95" s="17" t="str">
        <x:v>No</x:v>
      </x:c>
      <x:c r="O95" s="17" t="str">
        <x:v>No</x:v>
      </x:c>
      <x:c r="P95" s="17" t="str">
        <x:v>No</x:v>
      </x:c>
      <x:c r="Q95" s="17" t="str">
        <x:v>No</x:v>
      </x:c>
      <x:c r="R95" s="17"/>
      <x:c r="S95" s="17"/>
      <x:c r="T95" s="17" t="str">
        <x:v>Open</x:v>
      </x:c>
      <x:c r="U95" s="17"/>
      <x:c r="V95" s="17"/>
    </x:row>
    <x:row r="96">
      <x:c r="A96" s="17" t="str">
        <x:v>RR-092</x:v>
      </x:c>
      <x:c r="B96" s="17"/>
      <x:c r="C96" s="105"/>
      <x:c r="D96" s="17"/>
      <x:c r="E96" s="17"/>
      <x:c r="F96" s="17"/>
      <x:c r="G96" s="17" t="str">
        <x:v>Not Reviewed</x:v>
      </x:c>
      <x:c r="H96" s="17" t="str">
        <x:v>P2</x:v>
      </x:c>
      <x:c r="I96" s="17" t="str">
        <x:v>No</x:v>
      </x:c>
      <x:c r="J96" s="17" t="str">
        <x:v>No</x:v>
      </x:c>
      <x:c r="K96" s="17" t="str">
        <x:v>No</x:v>
      </x:c>
      <x:c r="L96" s="17" t="str">
        <x:v>No</x:v>
      </x:c>
      <x:c r="M96" s="17" t="str">
        <x:v>No</x:v>
      </x:c>
      <x:c r="N96" s="17" t="str">
        <x:v>No</x:v>
      </x:c>
      <x:c r="O96" s="17" t="str">
        <x:v>No</x:v>
      </x:c>
      <x:c r="P96" s="17" t="str">
        <x:v>No</x:v>
      </x:c>
      <x:c r="Q96" s="17" t="str">
        <x:v>No</x:v>
      </x:c>
      <x:c r="R96" s="17"/>
      <x:c r="S96" s="17"/>
      <x:c r="T96" s="17" t="str">
        <x:v>Open</x:v>
      </x:c>
      <x:c r="U96" s="17"/>
      <x:c r="V96" s="17"/>
    </x:row>
    <x:row r="97">
      <x:c r="A97" s="17" t="str">
        <x:v>RR-093</x:v>
      </x:c>
      <x:c r="B97" s="17"/>
      <x:c r="C97" s="105"/>
      <x:c r="D97" s="17"/>
      <x:c r="E97" s="17"/>
      <x:c r="F97" s="17"/>
      <x:c r="G97" s="17" t="str">
        <x:v>Not Reviewed</x:v>
      </x:c>
      <x:c r="H97" s="17" t="str">
        <x:v>P2</x:v>
      </x:c>
      <x:c r="I97" s="17" t="str">
        <x:v>No</x:v>
      </x:c>
      <x:c r="J97" s="17" t="str">
        <x:v>No</x:v>
      </x:c>
      <x:c r="K97" s="17" t="str">
        <x:v>No</x:v>
      </x:c>
      <x:c r="L97" s="17" t="str">
        <x:v>No</x:v>
      </x:c>
      <x:c r="M97" s="17" t="str">
        <x:v>No</x:v>
      </x:c>
      <x:c r="N97" s="17" t="str">
        <x:v>No</x:v>
      </x:c>
      <x:c r="O97" s="17" t="str">
        <x:v>No</x:v>
      </x:c>
      <x:c r="P97" s="17" t="str">
        <x:v>No</x:v>
      </x:c>
      <x:c r="Q97" s="17" t="str">
        <x:v>No</x:v>
      </x:c>
      <x:c r="R97" s="17"/>
      <x:c r="S97" s="17"/>
      <x:c r="T97" s="17" t="str">
        <x:v>Open</x:v>
      </x:c>
      <x:c r="U97" s="17"/>
      <x:c r="V97" s="17"/>
    </x:row>
    <x:row r="98">
      <x:c r="A98" s="17" t="str">
        <x:v>RR-094</x:v>
      </x:c>
      <x:c r="B98" s="17"/>
      <x:c r="C98" s="105"/>
      <x:c r="D98" s="17"/>
      <x:c r="E98" s="17"/>
      <x:c r="F98" s="17"/>
      <x:c r="G98" s="17" t="str">
        <x:v>Not Reviewed</x:v>
      </x:c>
      <x:c r="H98" s="17" t="str">
        <x:v>P2</x:v>
      </x:c>
      <x:c r="I98" s="17" t="str">
        <x:v>No</x:v>
      </x:c>
      <x:c r="J98" s="17" t="str">
        <x:v>No</x:v>
      </x:c>
      <x:c r="K98" s="17" t="str">
        <x:v>No</x:v>
      </x:c>
      <x:c r="L98" s="17" t="str">
        <x:v>No</x:v>
      </x:c>
      <x:c r="M98" s="17" t="str">
        <x:v>No</x:v>
      </x:c>
      <x:c r="N98" s="17" t="str">
        <x:v>No</x:v>
      </x:c>
      <x:c r="O98" s="17" t="str">
        <x:v>No</x:v>
      </x:c>
      <x:c r="P98" s="17" t="str">
        <x:v>No</x:v>
      </x:c>
      <x:c r="Q98" s="17" t="str">
        <x:v>No</x:v>
      </x:c>
      <x:c r="R98" s="17"/>
      <x:c r="S98" s="17"/>
      <x:c r="T98" s="17" t="str">
        <x:v>Open</x:v>
      </x:c>
      <x:c r="U98" s="17"/>
      <x:c r="V98" s="17"/>
    </x:row>
    <x:row r="99">
      <x:c r="A99" s="17" t="str">
        <x:v>RR-095</x:v>
      </x:c>
      <x:c r="B99" s="17"/>
      <x:c r="C99" s="105"/>
      <x:c r="D99" s="17"/>
      <x:c r="E99" s="17"/>
      <x:c r="F99" s="17"/>
      <x:c r="G99" s="17" t="str">
        <x:v>Not Reviewed</x:v>
      </x:c>
      <x:c r="H99" s="17" t="str">
        <x:v>P2</x:v>
      </x:c>
      <x:c r="I99" s="17" t="str">
        <x:v>No</x:v>
      </x:c>
      <x:c r="J99" s="17" t="str">
        <x:v>No</x:v>
      </x:c>
      <x:c r="K99" s="17" t="str">
        <x:v>No</x:v>
      </x:c>
      <x:c r="L99" s="17" t="str">
        <x:v>No</x:v>
      </x:c>
      <x:c r="M99" s="17" t="str">
        <x:v>No</x:v>
      </x:c>
      <x:c r="N99" s="17" t="str">
        <x:v>No</x:v>
      </x:c>
      <x:c r="O99" s="17" t="str">
        <x:v>No</x:v>
      </x:c>
      <x:c r="P99" s="17" t="str">
        <x:v>No</x:v>
      </x:c>
      <x:c r="Q99" s="17" t="str">
        <x:v>No</x:v>
      </x:c>
      <x:c r="R99" s="17"/>
      <x:c r="S99" s="17"/>
      <x:c r="T99" s="17" t="str">
        <x:v>Open</x:v>
      </x:c>
      <x:c r="U99" s="17"/>
      <x:c r="V99" s="17"/>
    </x:row>
    <x:row r="100">
      <x:c r="A100" s="17" t="str">
        <x:v>RR-096</x:v>
      </x:c>
      <x:c r="B100" s="17"/>
      <x:c r="C100" s="105"/>
      <x:c r="D100" s="17"/>
      <x:c r="E100" s="17"/>
      <x:c r="F100" s="17"/>
      <x:c r="G100" s="17" t="str">
        <x:v>Not Reviewed</x:v>
      </x:c>
      <x:c r="H100" s="17" t="str">
        <x:v>P2</x:v>
      </x:c>
      <x:c r="I100" s="17" t="str">
        <x:v>No</x:v>
      </x:c>
      <x:c r="J100" s="17" t="str">
        <x:v>No</x:v>
      </x:c>
      <x:c r="K100" s="17" t="str">
        <x:v>No</x:v>
      </x:c>
      <x:c r="L100" s="17" t="str">
        <x:v>No</x:v>
      </x:c>
      <x:c r="M100" s="17" t="str">
        <x:v>No</x:v>
      </x:c>
      <x:c r="N100" s="17" t="str">
        <x:v>No</x:v>
      </x:c>
      <x:c r="O100" s="17" t="str">
        <x:v>No</x:v>
      </x:c>
      <x:c r="P100" s="17" t="str">
        <x:v>No</x:v>
      </x:c>
      <x:c r="Q100" s="17" t="str">
        <x:v>No</x:v>
      </x:c>
      <x:c r="R100" s="17"/>
      <x:c r="S100" s="17"/>
      <x:c r="T100" s="17" t="str">
        <x:v>Open</x:v>
      </x:c>
      <x:c r="U100" s="17"/>
      <x:c r="V100" s="17"/>
    </x:row>
    <x:row r="101">
      <x:c r="A101" s="17" t="str">
        <x:v>RR-097</x:v>
      </x:c>
      <x:c r="B101" s="17"/>
      <x:c r="C101" s="105"/>
      <x:c r="D101" s="17"/>
      <x:c r="E101" s="17"/>
      <x:c r="F101" s="17"/>
      <x:c r="G101" s="17" t="str">
        <x:v>Not Reviewed</x:v>
      </x:c>
      <x:c r="H101" s="17" t="str">
        <x:v>P2</x:v>
      </x:c>
      <x:c r="I101" s="17" t="str">
        <x:v>No</x:v>
      </x:c>
      <x:c r="J101" s="17" t="str">
        <x:v>No</x:v>
      </x:c>
      <x:c r="K101" s="17" t="str">
        <x:v>No</x:v>
      </x:c>
      <x:c r="L101" s="17" t="str">
        <x:v>No</x:v>
      </x:c>
      <x:c r="M101" s="17" t="str">
        <x:v>No</x:v>
      </x:c>
      <x:c r="N101" s="17" t="str">
        <x:v>No</x:v>
      </x:c>
      <x:c r="O101" s="17" t="str">
        <x:v>No</x:v>
      </x:c>
      <x:c r="P101" s="17" t="str">
        <x:v>No</x:v>
      </x:c>
      <x:c r="Q101" s="17" t="str">
        <x:v>No</x:v>
      </x:c>
      <x:c r="R101" s="17"/>
      <x:c r="S101" s="17"/>
      <x:c r="T101" s="17" t="str">
        <x:v>Open</x:v>
      </x:c>
      <x:c r="U101" s="17"/>
      <x:c r="V101" s="17"/>
    </x:row>
    <x:row r="102">
      <x:c r="A102" s="17" t="str">
        <x:v>RR-098</x:v>
      </x:c>
      <x:c r="B102" s="17"/>
      <x:c r="C102" s="105"/>
      <x:c r="D102" s="17"/>
      <x:c r="E102" s="17"/>
      <x:c r="F102" s="17"/>
      <x:c r="G102" s="17" t="str">
        <x:v>Not Reviewed</x:v>
      </x:c>
      <x:c r="H102" s="17" t="str">
        <x:v>P2</x:v>
      </x:c>
      <x:c r="I102" s="17" t="str">
        <x:v>No</x:v>
      </x:c>
      <x:c r="J102" s="17" t="str">
        <x:v>No</x:v>
      </x:c>
      <x:c r="K102" s="17" t="str">
        <x:v>No</x:v>
      </x:c>
      <x:c r="L102" s="17" t="str">
        <x:v>No</x:v>
      </x:c>
      <x:c r="M102" s="17" t="str">
        <x:v>No</x:v>
      </x:c>
      <x:c r="N102" s="17" t="str">
        <x:v>No</x:v>
      </x:c>
      <x:c r="O102" s="17" t="str">
        <x:v>No</x:v>
      </x:c>
      <x:c r="P102" s="17" t="str">
        <x:v>No</x:v>
      </x:c>
      <x:c r="Q102" s="17" t="str">
        <x:v>No</x:v>
      </x:c>
      <x:c r="R102" s="17"/>
      <x:c r="S102" s="17"/>
      <x:c r="T102" s="17" t="str">
        <x:v>Open</x:v>
      </x:c>
      <x:c r="U102" s="17"/>
      <x:c r="V102" s="17"/>
    </x:row>
    <x:row r="103">
      <x:c r="A103" s="17" t="str">
        <x:v>RR-099</x:v>
      </x:c>
      <x:c r="B103" s="17"/>
      <x:c r="C103" s="105"/>
      <x:c r="D103" s="17"/>
      <x:c r="E103" s="17"/>
      <x:c r="F103" s="17"/>
      <x:c r="G103" s="17" t="str">
        <x:v>Not Reviewed</x:v>
      </x:c>
      <x:c r="H103" s="17" t="str">
        <x:v>P2</x:v>
      </x:c>
      <x:c r="I103" s="17" t="str">
        <x:v>No</x:v>
      </x:c>
      <x:c r="J103" s="17" t="str">
        <x:v>No</x:v>
      </x:c>
      <x:c r="K103" s="17" t="str">
        <x:v>No</x:v>
      </x:c>
      <x:c r="L103" s="17" t="str">
        <x:v>No</x:v>
      </x:c>
      <x:c r="M103" s="17" t="str">
        <x:v>No</x:v>
      </x:c>
      <x:c r="N103" s="17" t="str">
        <x:v>No</x:v>
      </x:c>
      <x:c r="O103" s="17" t="str">
        <x:v>No</x:v>
      </x:c>
      <x:c r="P103" s="17" t="str">
        <x:v>No</x:v>
      </x:c>
      <x:c r="Q103" s="17" t="str">
        <x:v>No</x:v>
      </x:c>
      <x:c r="R103" s="17"/>
      <x:c r="S103" s="17"/>
      <x:c r="T103" s="17" t="str">
        <x:v>Open</x:v>
      </x:c>
      <x:c r="U103" s="17"/>
      <x:c r="V103" s="17"/>
    </x:row>
    <x:row r="104">
      <x:c r="A104" s="18" t="str">
        <x:v>RR-100</x:v>
      </x:c>
      <x:c r="B104" s="18"/>
      <x:c r="C104" s="106"/>
      <x:c r="D104" s="18"/>
      <x:c r="E104" s="18"/>
      <x:c r="F104" s="18"/>
      <x:c r="G104" s="18" t="str">
        <x:v>Not Reviewed</x:v>
      </x:c>
      <x:c r="H104" s="18" t="str">
        <x:v>P2</x:v>
      </x:c>
      <x:c r="I104" s="18" t="str">
        <x:v>No</x:v>
      </x:c>
      <x:c r="J104" s="18" t="str">
        <x:v>No</x:v>
      </x:c>
      <x:c r="K104" s="18" t="str">
        <x:v>No</x:v>
      </x:c>
      <x:c r="L104" s="18" t="str">
        <x:v>No</x:v>
      </x:c>
      <x:c r="M104" s="18" t="str">
        <x:v>No</x:v>
      </x:c>
      <x:c r="N104" s="18" t="str">
        <x:v>No</x:v>
      </x:c>
      <x:c r="O104" s="18" t="str">
        <x:v>No</x:v>
      </x:c>
      <x:c r="P104" s="18" t="str">
        <x:v>No</x:v>
      </x:c>
      <x:c r="Q104" s="18" t="str">
        <x:v>No</x:v>
      </x:c>
      <x:c r="R104" s="18"/>
      <x:c r="S104" s="18"/>
      <x:c r="T104" s="18" t="str">
        <x:v>Open</x:v>
      </x:c>
      <x:c r="U104" s="18"/>
      <x:c r="V104" s="18"/>
    </x:row>
  </x:sheetData>
  <x:mergeCells>
    <x:mergeCell ref="A1:V1"/>
    <x:mergeCell ref="A2:V2"/>
  </x:mergeCells>
  <x:conditionalFormatting sqref="G5:G104">
    <x:cfRule type="containsText" dxfId="3" priority="1" operator="containsText" text="OK"/>
    <x:cfRule type="containsText" dxfId="4" priority="2" operator="containsText" text="NG"/>
  </x:conditionalFormatting>
  <x:conditionalFormatting sqref="H5:H104">
    <x:cfRule type="containsText" dxfId="5" priority="3" operator="containsText" text="P0"/>
  </x:conditionalFormatting>
  <x:dataValidations count="12">
    <x:dataValidation type="list" sqref="G5:G104">
      <x:formula1>"Not Reviewed,OK,NG"</x:formula1>
    </x:dataValidation>
    <x:dataValidation type="list" sqref="H5:H104">
      <x:formula1>"P0,P1,P2"</x:formula1>
    </x:dataValidation>
    <x:dataValidation type="list" sqref="I5:I104">
      <x:formula1>"No,Yes"</x:formula1>
    </x:dataValidation>
    <x:dataValidation type="list" sqref="J5:J104">
      <x:formula1>"No,Yes"</x:formula1>
    </x:dataValidation>
    <x:dataValidation type="list" sqref="K5:K104">
      <x:formula1>"No,Yes"</x:formula1>
    </x:dataValidation>
    <x:dataValidation type="list" sqref="L5:L104">
      <x:formula1>"No,Yes"</x:formula1>
    </x:dataValidation>
    <x:dataValidation type="list" sqref="M5:M104">
      <x:formula1>"No,Yes"</x:formula1>
    </x:dataValidation>
    <x:dataValidation type="list" sqref="N5:N104">
      <x:formula1>"No,Yes"</x:formula1>
    </x:dataValidation>
    <x:dataValidation type="list" sqref="O5:O104">
      <x:formula1>"No,Yes"</x:formula1>
    </x:dataValidation>
    <x:dataValidation type="list" sqref="P5:P104">
      <x:formula1>"No,Yes"</x:formula1>
    </x:dataValidation>
    <x:dataValidation type="list" sqref="Q5:Q104">
      <x:formula1>"No,Yes"</x:formula1>
    </x:dataValidation>
    <x:dataValidation type="list" sqref="T5:T104">
      <x:formula1>"Open,Investigating,Fixed,Accepted,Closed"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22" hidden="0" customWidth="1"/>
    <x:col min="5" max="5" width="28" hidden="0" customWidth="1"/>
    <x:col min="6" max="6" width="44" hidden="0" customWidth="1"/>
    <x:col min="7" max="7" width="52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36" customHeight="1">
      <x:c r="A1" s="3" t="str">
        <x:v>Mandatory Coverage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6" t="str">
        <x:v>Run all P0 and P1 cases during the soak. Deployment 3 should automate these as release gates where feasible.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1" t="str">
        <x:v>Case ID</x:v>
      </x:c>
      <x:c r="B4" s="19" t="str">
        <x:v>Priority</x:v>
      </x:c>
      <x:c r="C4" s="19" t="str">
        <x:v>Area</x:v>
      </x:c>
      <x:c r="D4" s="19" t="str">
        <x:v>Path</x:v>
      </x:c>
      <x:c r="E4" s="19" t="str">
        <x:v>Scenario</x:v>
      </x:c>
      <x:c r="F4" s="19" t="str">
        <x:v>Setup / input</x:v>
      </x:c>
      <x:c r="G4" s="19" t="str">
        <x:v>Expected result</x:v>
      </x:c>
      <x:c r="H4" s="19" t="str">
        <x:v>Evidence</x:v>
      </x:c>
      <x:c r="I4" s="19" t="str">
        <x:v>Review ID</x:v>
      </x:c>
      <x:c r="J4" s="12" t="str">
        <x:v>Status</x:v>
      </x:c>
    </x:row>
    <x:row r="5">
      <x:c r="A5" s="16" t="str">
        <x:v>SYNC-001</x:v>
      </x:c>
      <x:c r="B5" s="16" t="str">
        <x:v>P0</x:v>
      </x:c>
      <x:c r="C5" s="16" t="str">
        <x:v>Shared kitchen</x:v>
      </x:c>
      <x:c r="D5" s="16" t="str">
        <x:v>My Kitchen</x:v>
      </x:c>
      <x:c r="E5" s="16" t="str">
        <x:v>Phone and desktop same account</x:v>
      </x:c>
      <x:c r="F5" s="16" t="str">
        <x:v>Change one quantity on desktop; refresh phone</x:v>
      </x:c>
      <x:c r="G5" s="16" t="str">
        <x:v>Both devices show the same canonical quantity; no local fork</x:v>
      </x:c>
      <x:c r="H5" s="16" t="str">
        <x:v>Screenshots + API response</x:v>
      </x:c>
      <x:c r="I5" s="16" t="str"/>
      <x:c r="J5" s="16" t="str">
        <x:v>Not Run</x:v>
      </x:c>
    </x:row>
    <x:row r="6">
      <x:c r="A6" s="17" t="str">
        <x:v>SYNC-002</x:v>
      </x:c>
      <x:c r="B6" s="17" t="str">
        <x:v>P0</x:v>
      </x:c>
      <x:c r="C6" s="17" t="str">
        <x:v>Shared kitchen</x:v>
      </x:c>
      <x:c r="D6" s="17" t="str">
        <x:v>My Kitchen</x:v>
      </x:c>
      <x:c r="E6" s="17" t="str">
        <x:v>Offline/local changes reconcile</x:v>
      </x:c>
      <x:c r="F6" s="17" t="str">
        <x:v>Edit while temporarily offline, then reconnect</x:v>
      </x:c>
      <x:c r="G6" s="17" t="str">
        <x:v>No silent overwrite; conflict is explicit or safely merged</x:v>
      </x:c>
      <x:c r="H6" s="17" t="str">
        <x:v>Before/after payload</x:v>
      </x:c>
      <x:c r="I6" s="17" t="str"/>
      <x:c r="J6" s="17" t="str">
        <x:v>Not Run</x:v>
      </x:c>
    </x:row>
    <x:row r="7">
      <x:c r="A7" s="17" t="str">
        <x:v>SYNC-003</x:v>
      </x:c>
      <x:c r="B7" s="17" t="str">
        <x:v>P0</x:v>
      </x:c>
      <x:c r="C7" s="17" t="str">
        <x:v>Account isolation</x:v>
      </x:c>
      <x:c r="D7" s="17" t="str">
        <x:v>My Kitchen</x:v>
      </x:c>
      <x:c r="E7" s="17" t="str">
        <x:v>Two different accounts</x:v>
      </x:c>
      <x:c r="F7" s="17" t="str">
        <x:v>Sign in as account A and B</x:v>
      </x:c>
      <x:c r="G7" s="17" t="str">
        <x:v>No kitchen, report, or preference data crosses accounts</x:v>
      </x:c>
      <x:c r="H7" s="17" t="str">
        <x:v>Screenshots</x:v>
      </x:c>
      <x:c r="I7" s="17" t="str"/>
      <x:c r="J7" s="17" t="str">
        <x:v>Not Run</x:v>
      </x:c>
    </x:row>
    <x:row r="8">
      <x:c r="A8" s="17" t="str">
        <x:v>SYNC-004</x:v>
      </x:c>
      <x:c r="B8" s="17" t="str">
        <x:v>P0</x:v>
      </x:c>
      <x:c r="C8" s="17" t="str">
        <x:v>Pantry import</x:v>
      </x:c>
      <x:c r="D8" s="17" t="str">
        <x:v>My Kitchen</x:v>
      </x:c>
      <x:c r="E8" s="17" t="str">
        <x:v>140-item regional import</x:v>
      </x:c>
      <x:c r="F8" s="17" t="str">
        <x:v>Replace kitchen with all-region pantry and save twice</x:v>
      </x:c>
      <x:c r="G8" s="17" t="str">
        <x:v>No duplicate client_item_id; both saves are idempotent; phone matches desktop</x:v>
      </x:c>
      <x:c r="H8" s="17" t="str">
        <x:v>Save response + cross-device check</x:v>
      </x:c>
      <x:c r="I8" s="17" t="str"/>
      <x:c r="J8" s="17" t="str">
        <x:v>NG</x:v>
      </x:c>
    </x:row>
    <x:row r="9">
      <x:c r="A9" s="17" t="str">
        <x:v>AUTH-001</x:v>
      </x:c>
      <x:c r="B9" s="17" t="str">
        <x:v>P0</x:v>
      </x:c>
      <x:c r="C9" s="17" t="str">
        <x:v>Authentication</x:v>
      </x:c>
      <x:c r="D9" s="17" t="str">
        <x:v>Account</x:v>
      </x:c>
      <x:c r="E9" s="17" t="str">
        <x:v>Existing account login</x:v>
      </x:c>
      <x:c r="F9" s="17" t="str">
        <x:v>Login on phone and desktop</x:v>
      </x:c>
      <x:c r="G9" s="17" t="str">
        <x:v>One user identity and household; no duplicate account created</x:v>
      </x:c>
      <x:c r="H9" s="17" t="str">
        <x:v>User/household IDs</x:v>
      </x:c>
      <x:c r="I9" s="17" t="str"/>
      <x:c r="J9" s="17" t="str">
        <x:v>Not Run</x:v>
      </x:c>
    </x:row>
    <x:row r="10">
      <x:c r="A10" s="17" t="str">
        <x:v>AUTH-002</x:v>
      </x:c>
      <x:c r="B10" s="17" t="str">
        <x:v>P1</x:v>
      </x:c>
      <x:c r="C10" s="17" t="str">
        <x:v>Rate limits</x:v>
      </x:c>
      <x:c r="D10" s="17" t="str">
        <x:v>Account</x:v>
      </x:c>
      <x:c r="E10" s="17" t="str">
        <x:v>Email rate limit</x:v>
      </x:c>
      <x:c r="F10" s="17" t="str">
        <x:v>Trigger retry after 429</x:v>
      </x:c>
      <x:c r="G10" s="17" t="str">
        <x:v>Friendly cooldown message; no repeated hidden requests</x:v>
      </x:c>
      <x:c r="H10" s="17" t="str">
        <x:v>UI + network log</x:v>
      </x:c>
      <x:c r="I10" s="17" t="str"/>
      <x:c r="J10" s="17" t="str">
        <x:v>Not Run</x:v>
      </x:c>
    </x:row>
    <x:row r="11">
      <x:c r="A11" s="17" t="str">
        <x:v>INV-001</x:v>
      </x:c>
      <x:c r="B11" s="17" t="str">
        <x:v>P0</x:v>
      </x:c>
      <x:c r="C11" s="17" t="str">
        <x:v>Units</x:v>
      </x:c>
      <x:c r="D11" s="17" t="str">
        <x:v>My Kitchen</x:v>
      </x:c>
      <x:c r="E11" s="17" t="str">
        <x:v>Chicken breast in pounds</x:v>
      </x:c>
      <x:c r="F11" s="17" t="str">
        <x:v>Store 1 lb; plan 4 servings</x:v>
      </x:c>
      <x:c r="G11" s="17" t="str">
        <x:v>Planner interprets weight, not one piece; no false shortage</x:v>
      </x:c>
      <x:c r="H11" s="17" t="str">
        <x:v>Recipe + payload</x:v>
      </x:c>
      <x:c r="I11" s="17" t="str"/>
      <x:c r="J11" s="17" t="str">
        <x:v>Not Run</x:v>
      </x:c>
    </x:row>
    <x:row r="12">
      <x:c r="A12" s="17" t="str">
        <x:v>INV-002</x:v>
      </x:c>
      <x:c r="B12" s="17" t="str">
        <x:v>P0</x:v>
      </x:c>
      <x:c r="C12" s="17" t="str">
        <x:v>Aliases</x:v>
      </x:c>
      <x:c r="D12" s="17" t="str">
        <x:v>My Kitchen</x:v>
      </x:c>
      <x:c r="E12" s="17" t="str">
        <x:v>Ribeye vs ribeye steak</x:v>
      </x:c>
      <x:c r="F12" s="17" t="str">
        <x:v>Store “ribeye”; build ribeye meal</x:v>
      </x:c>
      <x:c r="G12" s="17" t="str">
        <x:v>Canonical match; no false grocery item</x:v>
      </x:c>
      <x:c r="H12" s="17" t="str">
        <x:v>Recipe grocery list</x:v>
      </x:c>
      <x:c r="I12" s="17" t="str"/>
      <x:c r="J12" s="17" t="str">
        <x:v>Not Run</x:v>
      </x:c>
    </x:row>
    <x:row r="13">
      <x:c r="A13" s="17" t="str">
        <x:v>INV-003</x:v>
      </x:c>
      <x:c r="B13" s="17" t="str">
        <x:v>P0</x:v>
      </x:c>
      <x:c r="C13" s="17" t="str">
        <x:v>Aliases</x:v>
      </x:c>
      <x:c r="D13" s="17" t="str">
        <x:v>My Kitchen</x:v>
      </x:c>
      <x:c r="E13" s="17" t="str">
        <x:v>Cornstarch case/spacing</x:v>
      </x:c>
      <x:c r="F13" s="17" t="str">
        <x:v>Store Cornstarch; recipe requests cornstarch</x:v>
      </x:c>
      <x:c r="G13" s="17" t="str">
        <x:v>Recognized once; no false omission</x:v>
      </x:c>
      <x:c r="H13" s="17" t="str">
        <x:v>Recipe adjustments</x:v>
      </x:c>
      <x:c r="I13" s="17" t="str"/>
      <x:c r="J13" s="17" t="str">
        <x:v>Not Run</x:v>
      </x:c>
    </x:row>
    <x:row r="14">
      <x:c r="A14" s="17" t="str">
        <x:v>INV-004</x:v>
      </x:c>
      <x:c r="B14" s="17" t="str">
        <x:v>P1</x:v>
      </x:c>
      <x:c r="C14" s="17" t="str">
        <x:v>Inventory</x:v>
      </x:c>
      <x:c r="D14" s="17" t="str">
        <x:v>My Kitchen</x:v>
      </x:c>
      <x:c r="E14" s="17" t="str">
        <x:v>Cooking oil and butter</x:v>
      </x:c>
      <x:c r="F14" s="17" t="str">
        <x:v>Both on hand</x:v>
      </x:c>
      <x:c r="G14" s="17" t="str">
        <x:v>No unnecessary substitution chatter or false missing fat</x:v>
      </x:c>
      <x:c r="H14" s="17" t="str">
        <x:v>Recipe adjustments</x:v>
      </x:c>
      <x:c r="I14" s="17" t="str"/>
      <x:c r="J14" s="17" t="str">
        <x:v>Not Run</x:v>
      </x:c>
    </x:row>
    <x:row r="15">
      <x:c r="A15" s="17" t="str">
        <x:v>CAP-001</x:v>
      </x:c>
      <x:c r="B15" s="17" t="str">
        <x:v>P0</x:v>
      </x:c>
      <x:c r="C15" s="17" t="str">
        <x:v>Method gate</x:v>
      </x:c>
      <x:c r="D15" s="17" t="str">
        <x:v>Build Meal</x:v>
      </x:c>
      <x:c r="E15" s="17" t="str">
        <x:v>Untrained method hidden</x:v>
      </x:c>
      <x:c r="F15" s="17" t="str">
        <x:v>Select ingredients with no safe public route</x:v>
      </x:c>
      <x:c r="G15" s="17" t="str">
        <x:v>Method unavailable before submission or clear actionable alternative</x:v>
      </x:c>
      <x:c r="H15" s="17" t="str">
        <x:v>UI + response</x:v>
      </x:c>
      <x:c r="I15" s="17" t="str"/>
      <x:c r="J15" s="17" t="str">
        <x:v>Not Run</x:v>
      </x:c>
    </x:row>
    <x:row r="16">
      <x:c r="A16" s="17" t="str">
        <x:v>CAP-002</x:v>
      </x:c>
      <x:c r="B16" s="17" t="str">
        <x:v>P0</x:v>
      </x:c>
      <x:c r="C16" s="17" t="str">
        <x:v>Equipment</x:v>
      </x:c>
      <x:c r="D16" s="17" t="str">
        <x:v>Build Meal</x:v>
      </x:c>
      <x:c r="E16" s="17" t="str">
        <x:v>Grill requires owned grill</x:v>
      </x:c>
      <x:c r="F16" s="17" t="str">
        <x:v>Ribeye on grocery list; grill in equipment</x:v>
      </x:c>
      <x:c r="G16" s="17" t="str">
        <x:v>Grill can be selected and valid route generated</x:v>
      </x:c>
      <x:c r="H16" s="17" t="str">
        <x:v>Recipe</x:v>
      </x:c>
      <x:c r="I16" s="17" t="str"/>
      <x:c r="J16" s="17" t="str">
        <x:v>Not Run</x:v>
      </x:c>
    </x:row>
    <x:row r="17">
      <x:c r="A17" s="17" t="str">
        <x:v>CAP-003</x:v>
      </x:c>
      <x:c r="B17" s="17" t="str">
        <x:v>P1</x:v>
      </x:c>
      <x:c r="C17" s="17" t="str">
        <x:v>Equipment</x:v>
      </x:c>
      <x:c r="D17" s="17" t="str">
        <x:v>Build Meal</x:v>
      </x:c>
      <x:c r="E17" s="17" t="str">
        <x:v>Slow cooker long brisket</x:v>
      </x:c>
      <x:c r="F17" s="17" t="str">
        <x:v>Brisket + 8 hours + slow cooker owned</x:v>
      </x:c>
      <x:c r="G17" s="17" t="str">
        <x:v>Slow cooker preferred over stovetop when trained and suitable</x:v>
      </x:c>
      <x:c r="H17" s="17" t="str">
        <x:v>Recipe</x:v>
      </x:c>
      <x:c r="I17" s="17" t="str"/>
      <x:c r="J17" s="17" t="str">
        <x:v>Not Run</x:v>
      </x:c>
    </x:row>
    <x:row r="18">
      <x:c r="A18" s="17" t="str">
        <x:v>SAFE-001</x:v>
      </x:c>
      <x:c r="B18" s="17" t="str">
        <x:v>P0</x:v>
      </x:c>
      <x:c r="C18" s="17" t="str">
        <x:v>Food safety</x:v>
      </x:c>
      <x:c r="D18" s="17" t="str">
        <x:v>Build Meal</x:v>
      </x:c>
      <x:c r="E18" s="17" t="str">
        <x:v>Raw poultry casserole</x:v>
      </x:c>
      <x:c r="F18" s="17" t="str">
        <x:v>Raw chicken + vegetables + sauce</x:v>
      </x:c>
      <x:c r="G18" s="17" t="str">
        <x:v>Chicken cooks from start; no unsafe late raw-protein addition; 165°F endpoint</x:v>
      </x:c>
      <x:c r="H18" s="17" t="str">
        <x:v>Full recipe</x:v>
      </x:c>
      <x:c r="I18" s="17" t="str"/>
      <x:c r="J18" s="17" t="str">
        <x:v>Not Run</x:v>
      </x:c>
    </x:row>
    <x:row r="19">
      <x:c r="A19" s="17" t="str">
        <x:v>SAFE-002</x:v>
      </x:c>
      <x:c r="B19" s="17" t="str">
        <x:v>P0</x:v>
      </x:c>
      <x:c r="C19" s="17" t="str">
        <x:v>Food safety</x:v>
      </x:c>
      <x:c r="D19" s="17" t="str">
        <x:v>Build Meal</x:v>
      </x:c>
      <x:c r="E19" s="17" t="str">
        <x:v>Ground meat endpoint</x:v>
      </x:c>
      <x:c r="F19" s="17" t="str">
        <x:v>Ground beef skillet</x:v>
      </x:c>
      <x:c r="G19" s="17" t="str">
        <x:v>160°F endpoint and coherent sequence</x:v>
      </x:c>
      <x:c r="H19" s="17" t="str">
        <x:v>Full recipe</x:v>
      </x:c>
      <x:c r="I19" s="17" t="str"/>
      <x:c r="J19" s="17" t="str">
        <x:v>Not Run</x:v>
      </x:c>
    </x:row>
    <x:row r="20">
      <x:c r="A20" s="17" t="str">
        <x:v>SAFE-003</x:v>
      </x:c>
      <x:c r="B20" s="17" t="str">
        <x:v>P0</x:v>
      </x:c>
      <x:c r="C20" s="17" t="str">
        <x:v>Food safety</x:v>
      </x:c>
      <x:c r="D20" s="17" t="str">
        <x:v>Build Meal</x:v>
      </x:c>
      <x:c r="E20" s="17" t="str">
        <x:v>Brisket time gate</x:v>
      </x:c>
      <x:c r="F20" s="17" t="str">
        <x:v>Raw brisket + 45 min</x:v>
      </x:c>
      <x:c r="G20" s="17" t="str">
        <x:v>Friendly needs-more-time explanation; no impossible recipe</x:v>
      </x:c>
      <x:c r="H20" s="17" t="str">
        <x:v>UI response</x:v>
      </x:c>
      <x:c r="I20" s="17" t="str"/>
      <x:c r="J20" s="17" t="str">
        <x:v>Not Run</x:v>
      </x:c>
    </x:row>
    <x:row r="21">
      <x:c r="A21" s="17" t="str">
        <x:v>SAFE-004</x:v>
      </x:c>
      <x:c r="B21" s="17" t="str">
        <x:v>P0</x:v>
      </x:c>
      <x:c r="C21" s="17" t="str">
        <x:v>Food safety</x:v>
      </x:c>
      <x:c r="D21" s="17" t="str">
        <x:v>Build Meal</x:v>
      </x:c>
      <x:c r="E21" s="17" t="str">
        <x:v>Seafood quick cook</x:v>
      </x:c>
      <x:c r="F21" s="17" t="str">
        <x:v>Fish or shrimp with sturdy vegetables</x:v>
      </x:c>
      <x:c r="G21" s="17" t="str">
        <x:v>Protein timing prevents overcooking and reaches safe endpoint</x:v>
      </x:c>
      <x:c r="H21" s="17" t="str">
        <x:v>Full recipe</x:v>
      </x:c>
      <x:c r="I21" s="17" t="str"/>
      <x:c r="J21" s="17" t="str">
        <x:v>Not Run</x:v>
      </x:c>
    </x:row>
    <x:row r="22">
      <x:c r="A22" s="17" t="str">
        <x:v>QTY-001</x:v>
      </x:c>
      <x:c r="B22" s="17" t="str">
        <x:v>P0</x:v>
      </x:c>
      <x:c r="C22" s="17" t="str">
        <x:v>Quantities</x:v>
      </x:c>
      <x:c r="D22" s="17" t="str">
        <x:v>Give Ideas</x:v>
      </x:c>
      <x:c r="E22" s="17" t="str">
        <x:v>Four servings</x:v>
      </x:c>
      <x:c r="F22" s="17" t="str">
        <x:v>Mixed ingredient forms and 4 servings</x:v>
      </x:c>
      <x:c r="G22" s="17" t="str">
        <x:v>Every main ingredient has practical amount and compatible unit</x:v>
      </x:c>
      <x:c r="H22" s="17" t="str">
        <x:v>Ingredient list</x:v>
      </x:c>
      <x:c r="I22" s="17" t="str"/>
      <x:c r="J22" s="17" t="str">
        <x:v>Not Run</x:v>
      </x:c>
    </x:row>
    <x:row r="23">
      <x:c r="A23" s="17" t="str">
        <x:v>QTY-002</x:v>
      </x:c>
      <x:c r="B23" s="17" t="str">
        <x:v>P1</x:v>
      </x:c>
      <x:c r="C23" s="17" t="str">
        <x:v>Quantities</x:v>
      </x:c>
      <x:c r="D23" s="17" t="str">
        <x:v>Build Meal</x:v>
      </x:c>
      <x:c r="E23" s="17" t="str">
        <x:v>Vegetable estimates</x:v>
      </x:c>
      <x:c r="F23" s="17" t="str">
        <x:v>Four vegetables + 4 servings</x:v>
      </x:c>
      <x:c r="G23" s="17" t="str">
        <x:v>Prepared amounts are sensible; no absurd citrus/produce volume</x:v>
      </x:c>
      <x:c r="H23" s="17" t="str">
        <x:v>Ingredient list</x:v>
      </x:c>
      <x:c r="I23" s="17" t="str"/>
      <x:c r="J23" s="17" t="str">
        <x:v>Not Run</x:v>
      </x:c>
    </x:row>
    <x:row r="24">
      <x:c r="A24" s="17" t="str">
        <x:v>QTY-003</x:v>
      </x:c>
      <x:c r="B24" s="17" t="str">
        <x:v>P1</x:v>
      </x:c>
      <x:c r="C24" s="17" t="str">
        <x:v>Quantities</x:v>
      </x:c>
      <x:c r="D24" s="17" t="str">
        <x:v>Build Meal</x:v>
      </x:c>
      <x:c r="E24" s="17" t="str">
        <x:v>Canned helpers</x:v>
      </x:c>
      <x:c r="F24" s="17" t="str">
        <x:v>Canned beans/veg/soup</x:v>
      </x:c>
      <x:c r="G24" s="17" t="str">
        <x:v>Whole-can rounding where appropriate; no partial-can nonsense</x:v>
      </x:c>
      <x:c r="H24" s="17" t="str">
        <x:v>Ingredient list</x:v>
      </x:c>
      <x:c r="I24" s="17" t="str"/>
      <x:c r="J24" s="17" t="str">
        <x:v>Not Run</x:v>
      </x:c>
    </x:row>
    <x:row r="25">
      <x:c r="A25" s="17" t="str">
        <x:v>ORCH-001</x:v>
      </x:c>
      <x:c r="B25" s="17" t="str">
        <x:v>P0</x:v>
      </x:c>
      <x:c r="C25" s="17" t="str">
        <x:v>Orchestration</x:v>
      </x:c>
      <x:c r="D25" s="17" t="str">
        <x:v>Build Meal</x:v>
      </x:c>
      <x:c r="E25" s="17" t="str">
        <x:v>Kitchen-sink casserole</x:v>
      </x:c>
      <x:c r="F25" s="17" t="str">
        <x:v>Raw protein + cooked sausage + 6 vegetables + noodles</x:v>
      </x:c>
      <x:c r="G25" s="17" t="str">
        <x:v>Prep and bake sequence is safe, nonredundant, and structurally complete</x:v>
      </x:c>
      <x:c r="H25" s="17" t="str">
        <x:v>Full recipe</x:v>
      </x:c>
      <x:c r="I25" s="17" t="str"/>
      <x:c r="J25" s="17" t="str">
        <x:v>Not Run</x:v>
      </x:c>
    </x:row>
    <x:row r="26">
      <x:c r="A26" s="17" t="str">
        <x:v>ORCH-002</x:v>
      </x:c>
      <x:c r="B26" s="17" t="str">
        <x:v>P0</x:v>
      </x:c>
      <x:c r="C26" s="17" t="str">
        <x:v>Orchestration</x:v>
      </x:c>
      <x:c r="D26" s="17" t="str">
        <x:v>Give Ideas</x:v>
      </x:c>
      <x:c r="E26" s="17" t="str">
        <x:v>Tuna + vegetables</x:v>
      </x:c>
      <x:c r="F26" s="17" t="str">
        <x:v>Canned tuna + fresh/canned vegetables</x:v>
      </x:c>
      <x:c r="G26" s="17" t="str">
        <x:v>Tuna added late only to warm; vegetables use form-appropriate methods</x:v>
      </x:c>
      <x:c r="H26" s="17" t="str">
        <x:v>Full recipe</x:v>
      </x:c>
      <x:c r="I26" s="17" t="str"/>
      <x:c r="J26" s="17" t="str">
        <x:v>Not Run</x:v>
      </x:c>
    </x:row>
    <x:row r="27">
      <x:c r="A27" s="17" t="str">
        <x:v>ORCH-003</x:v>
      </x:c>
      <x:c r="B27" s="17" t="str">
        <x:v>P1</x:v>
      </x:c>
      <x:c r="C27" s="17" t="str">
        <x:v>Orchestration</x:v>
      </x:c>
      <x:c r="D27" s="17" t="str">
        <x:v>Build Meal</x:v>
      </x:c>
      <x:c r="E27" s="17" t="str">
        <x:v>Sauce optionality</x:v>
      </x:c>
      <x:c r="F27" s="17" t="str">
        <x:v>Tuna + broccoli + bread</x:v>
      </x:c>
      <x:c r="G27" s="17" t="str">
        <x:v>No automatic milk/broth/cornstarch sauce unless cuisine/structure calls for it</x:v>
      </x:c>
      <x:c r="H27" s="17" t="str">
        <x:v>Ingredients + steps</x:v>
      </x:c>
      <x:c r="I27" s="17" t="str"/>
      <x:c r="J27" s="17" t="str">
        <x:v>Not Run</x:v>
      </x:c>
    </x:row>
    <x:row r="28">
      <x:c r="A28" s="17" t="str">
        <x:v>ORCH-004</x:v>
      </x:c>
      <x:c r="B28" s="17" t="str">
        <x:v>P1</x:v>
      </x:c>
      <x:c r="C28" s="17" t="str">
        <x:v>Orchestration</x:v>
      </x:c>
      <x:c r="D28" s="17" t="str">
        <x:v>Build Meal</x:v>
      </x:c>
      <x:c r="E28" s="17" t="str">
        <x:v>Condiments timing</x:v>
      </x:c>
      <x:c r="F28" s="17" t="str">
        <x:v>Soup/stew + soy/Worcestershire/tomato sauce</x:v>
      </x:c>
      <x:c r="G28" s="17" t="str">
        <x:v>Cooking sauces enter before long simmer; finishing condiments remain at finish</x:v>
      </x:c>
      <x:c r="H28" s="17" t="str">
        <x:v>Full recipe</x:v>
      </x:c>
      <x:c r="I28" s="17" t="str"/>
      <x:c r="J28" s="17" t="str">
        <x:v>Not Run</x:v>
      </x:c>
    </x:row>
    <x:row r="29">
      <x:c r="A29" s="17" t="str">
        <x:v>EFF-001</x:v>
      </x:c>
      <x:c r="B29" s="17" t="str">
        <x:v>P1</x:v>
      </x:c>
      <x:c r="C29" s="17" t="str">
        <x:v>Effort</x:v>
      </x:c>
      <x:c r="D29" s="17" t="str">
        <x:v>Give Ideas</x:v>
      </x:c>
      <x:c r="E29" s="17" t="str">
        <x:v>Very Low canned meal</x:v>
      </x:c>
      <x:c r="F29" s="17" t="str">
        <x:v>Canned pantry + Very Low</x:v>
      </x:c>
      <x:c r="G29" s="17" t="str">
        <x:v>Open, drain, combine, heat; minimal chopping and active time</x:v>
      </x:c>
      <x:c r="H29" s="17" t="str">
        <x:v>Recipe timing</x:v>
      </x:c>
      <x:c r="I29" s="17" t="str"/>
      <x:c r="J29" s="17" t="str">
        <x:v>Not Run</x:v>
      </x:c>
    </x:row>
    <x:row r="30">
      <x:c r="A30" s="17" t="str">
        <x:v>EFF-002</x:v>
      </x:c>
      <x:c r="B30" s="17" t="str">
        <x:v>P1</x:v>
      </x:c>
      <x:c r="C30" s="17" t="str">
        <x:v>Effort</x:v>
      </x:c>
      <x:c r="D30" s="17" t="str">
        <x:v>Build Meal</x:v>
      </x:c>
      <x:c r="E30" s="17" t="str">
        <x:v>Waiting note</x:v>
      </x:c>
      <x:c r="F30" s="17" t="str">
        <x:v>Next cook starts &gt; prep time + 3 min later</x:v>
      </x:c>
      <x:c r="G30" s="17" t="str">
        <x:v>Plan explicitly explains the waiting window</x:v>
      </x:c>
      <x:c r="H30" s="17" t="str">
        <x:v>Cooking plan</x:v>
      </x:c>
      <x:c r="I30" s="17" t="str"/>
      <x:c r="J30" s="17" t="str">
        <x:v>Not Run</x:v>
      </x:c>
    </x:row>
    <x:row r="31">
      <x:c r="A31" s="17" t="str">
        <x:v>TIME-001</x:v>
      </x:c>
      <x:c r="B31" s="17" t="str">
        <x:v>P1</x:v>
      </x:c>
      <x:c r="C31" s="17" t="str">
        <x:v>Timing</x:v>
      </x:c>
      <x:c r="D31" s="17" t="str">
        <x:v>Build Meal</x:v>
      </x:c>
      <x:c r="E31" s="17" t="str">
        <x:v>Active/passive display</x:v>
      </x:c>
      <x:c r="F31" s="17" t="str">
        <x:v>Long braise</x:v>
      </x:c>
      <x:c r="G31" s="17" t="str">
        <x:v>Total, active, and waiting time reconcile and display once</x:v>
      </x:c>
      <x:c r="H31" s="17" t="str">
        <x:v>Header + steps</x:v>
      </x:c>
      <x:c r="I31" s="17" t="str"/>
      <x:c r="J31" s="17" t="str">
        <x:v>Not Run</x:v>
      </x:c>
    </x:row>
    <x:row r="32">
      <x:c r="A32" s="17" t="str">
        <x:v>IDEA-001</x:v>
      </x:c>
      <x:c r="B32" s="17" t="str">
        <x:v>P1</x:v>
      </x:c>
      <x:c r="C32" s="17" t="str">
        <x:v>Ideas</x:v>
      </x:c>
      <x:c r="D32" s="17" t="str">
        <x:v>Give Ideas</x:v>
      </x:c>
      <x:c r="E32" s="17" t="str">
        <x:v>Pantry changes invalidate cache</x:v>
      </x:c>
      <x:c r="F32" s="17" t="str">
        <x:v>Remove ribeye; add canned tuna</x:v>
      </x:c>
      <x:c r="G32" s="17" t="str">
        <x:v>No stale ribeye cards; candidates reflect current kitchen</x:v>
      </x:c>
      <x:c r="H32" s="17" t="str">
        <x:v>Candidate list</x:v>
      </x:c>
      <x:c r="I32" s="17" t="str"/>
      <x:c r="J32" s="17" t="str">
        <x:v>Not Run</x:v>
      </x:c>
    </x:row>
    <x:row r="33">
      <x:c r="A33" s="17" t="str">
        <x:v>IDEA-002</x:v>
      </x:c>
      <x:c r="B33" s="17" t="str">
        <x:v>P1</x:v>
      </x:c>
      <x:c r="C33" s="17" t="str">
        <x:v>Performance</x:v>
      </x:c>
      <x:c r="D33" s="17" t="str">
        <x:v>Give Ideas</x:v>
      </x:c>
      <x:c r="E33" s="17" t="str">
        <x:v>Warm request</x:v>
      </x:c>
      <x:c r="F33" s="17" t="str">
        <x:v>Repeat unchanged request</x:v>
      </x:c>
      <x:c r="G33" s="17" t="str">
        <x:v>Warm response target ≤5 sec; no imposed UI pause</x:v>
      </x:c>
      <x:c r="H33" s="17" t="str">
        <x:v>Timer + network</x:v>
      </x:c>
      <x:c r="I33" s="17" t="str"/>
      <x:c r="J33" s="17" t="str">
        <x:v>Not Run</x:v>
      </x:c>
    </x:row>
    <x:row r="34">
      <x:c r="A34" s="17" t="str">
        <x:v>IDEA-003</x:v>
      </x:c>
      <x:c r="B34" s="17" t="str">
        <x:v>P1</x:v>
      </x:c>
      <x:c r="C34" s="17" t="str">
        <x:v>Performance</x:v>
      </x:c>
      <x:c r="D34" s="17" t="str">
        <x:v>Give Ideas</x:v>
      </x:c>
      <x:c r="E34" s="17" t="str">
        <x:v>Cold Render request</x:v>
      </x:c>
      <x:c r="F34" s="17" t="str">
        <x:v>First request after idle</x:v>
      </x:c>
      <x:c r="G34" s="17" t="str">
        <x:v>Cold start is messaged; request completes or retries transparently</x:v>
      </x:c>
      <x:c r="H34" s="17" t="str">
        <x:v>Timer + UI</x:v>
      </x:c>
      <x:c r="I34" s="17" t="str"/>
      <x:c r="J34" s="17" t="str">
        <x:v>Not Run</x:v>
      </x:c>
    </x:row>
    <x:row r="35">
      <x:c r="A35" s="17" t="str">
        <x:v>PHOTO-001</x:v>
      </x:c>
      <x:c r="B35" s="17" t="str">
        <x:v>P1</x:v>
      </x:c>
      <x:c r="C35" s="17" t="str">
        <x:v>Photo entry</x:v>
      </x:c>
      <x:c r="D35" s="17" t="str">
        <x:v>My Kitchen</x:v>
      </x:c>
      <x:c r="E35" s="17" t="str">
        <x:v>Recognize pantry photo</x:v>
      </x:c>
      <x:c r="F35" s="17" t="str">
        <x:v>Clear photo of 5 labeled items</x:v>
      </x:c>
      <x:c r="G35" s="17" t="str">
        <x:v>Returns editable candidates; no photo retained; canonical units/forms</x:v>
      </x:c>
      <x:c r="H35" s="17" t="str">
        <x:v>Candidate list</x:v>
      </x:c>
      <x:c r="I35" s="17" t="str"/>
      <x:c r="J35" s="17" t="str">
        <x:v>Not Run</x:v>
      </x:c>
    </x:row>
    <x:row r="36">
      <x:c r="A36" s="17" t="str">
        <x:v>PHOTO-002</x:v>
      </x:c>
      <x:c r="B36" s="17" t="str">
        <x:v>P1</x:v>
      </x:c>
      <x:c r="C36" s="17" t="str">
        <x:v>Photo entry</x:v>
      </x:c>
      <x:c r="D36" s="17" t="str">
        <x:v>My Kitchen</x:v>
      </x:c>
      <x:c r="E36" s="17" t="str">
        <x:v>OpenAI 429</x:v>
      </x:c>
      <x:c r="F36" s="17" t="str">
        <x:v>Recognition quota/rate limit</x:v>
      </x:c>
      <x:c r="G36" s="17" t="str">
        <x:v>Friendly retry/cooldown; no duplicate requests or lost selection</x:v>
      </x:c>
      <x:c r="H36" s="17" t="str">
        <x:v>UI + logs</x:v>
      </x:c>
      <x:c r="I36" s="17" t="str"/>
      <x:c r="J36" s="17" t="str">
        <x:v>Not Run</x:v>
      </x:c>
    </x:row>
    <x:row r="37">
      <x:c r="A37" s="17" t="str">
        <x:v>BAR-001</x:v>
      </x:c>
      <x:c r="B37" s="17" t="str">
        <x:v>P1</x:v>
      </x:c>
      <x:c r="C37" s="17" t="str">
        <x:v>Barcode</x:v>
      </x:c>
      <x:c r="D37" s="17" t="str">
        <x:v>My Kitchen</x:v>
      </x:c>
      <x:c r="E37" s="17" t="str">
        <x:v>Known packaged item</x:v>
      </x:c>
      <x:c r="F37" s="17" t="str">
        <x:v>Scan common canned item</x:v>
      </x:c>
      <x:c r="G37" s="17" t="str">
        <x:v>Full canonical record populated—not generic default</x:v>
      </x:c>
      <x:c r="H37" s="17" t="str">
        <x:v>Saved item payload</x:v>
      </x:c>
      <x:c r="I37" s="17" t="str"/>
      <x:c r="J37" s="17" t="str">
        <x:v>Not Run</x:v>
      </x:c>
    </x:row>
    <x:row r="38">
      <x:c r="A38" s="17" t="str">
        <x:v>REPORT-001</x:v>
      </x:c>
      <x:c r="B38" s="17" t="str">
        <x:v>P0</x:v>
      </x:c>
      <x:c r="C38" s="17" t="str">
        <x:v>Reporting</x:v>
      </x:c>
      <x:c r="D38" s="17" t="str">
        <x:v>Recipe</x:v>
      </x:c>
      <x:c r="E38" s="17" t="str">
        <x:v>Submit NG report</x:v>
      </x:c>
      <x:c r="F38" s="17" t="str">
        <x:v>Select reason + note + send</x:v>
      </x:c>
      <x:c r="G38" s="17" t="str">
        <x:v>Modal closes, confirmation appears, Supabase row contains provenance and full snapshot</x:v>
      </x:c>
      <x:c r="H38" s="17" t="str">
        <x:v>DB row</x:v>
      </x:c>
      <x:c r="I38" s="17" t="str"/>
      <x:c r="J38" s="17" t="str">
        <x:v>Not Run</x:v>
      </x:c>
    </x:row>
    <x:row r="39">
      <x:c r="A39" s="18" t="str">
        <x:v>REPORT-002</x:v>
      </x:c>
      <x:c r="B39" s="18" t="str">
        <x:v>P1</x:v>
      </x:c>
      <x:c r="C39" s="18" t="str">
        <x:v>Reporting</x:v>
      </x:c>
      <x:c r="D39" s="18" t="str">
        <x:v>Recipe</x:v>
      </x:c>
      <x:c r="E39" s="18" t="str">
        <x:v>Mark recipe OK</x:v>
      </x:c>
      <x:c r="F39" s="18" t="str">
        <x:v>Submit positive review</x:v>
      </x:c>
      <x:c r="G39" s="18" t="str">
        <x:v>Supabase logs OK with same provenance contract</x:v>
      </x:c>
      <x:c r="H39" s="18" t="str">
        <x:v>DB row</x:v>
      </x:c>
      <x:c r="I39" s="18" t="str"/>
      <x:c r="J39" s="18" t="str">
        <x:v>Not Run</x:v>
      </x:c>
    </x:row>
  </x:sheetData>
  <x:mergeCells>
    <x:mergeCell ref="A1:J1"/>
    <x:mergeCell ref="A2:J2"/>
  </x:mergeCells>
  <x:conditionalFormatting sqref="B5:B39">
    <x:cfRule type="containsText" dxfId="6" priority="1" operator="containsText" text="P0"/>
  </x:conditionalFormatting>
  <x:conditionalFormatting sqref="J5:J39">
    <x:cfRule type="containsText" dxfId="7" priority="2" operator="containsText" text="Pass"/>
    <x:cfRule type="containsText" dxfId="8" priority="3" operator="containsText" text="NG"/>
    <x:cfRule type="containsText" dxfId="9" priority="4" operator="containsText" text="Blocked"/>
  </x:conditionalFormatting>
  <x:dataValidations count="2">
    <x:dataValidation type="list" sqref="B5:B39">
      <x:formula1>"P0,P1,P2"</x:formula1>
    </x:dataValidation>
    <x:dataValidation type="list" sqref="J5:J39">
      <x:formula1>"Not Run,Pass,NG,Blocked,N/A"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3" t="str">
        <x:v>Release Dashboard</x:v>
      </x:c>
      <x:c r="B1" s="3"/>
      <x:c r="C1" s="3"/>
      <x:c r="D1" s="3"/>
      <x:c r="E1" s="3"/>
      <x:c r="F1" s="3"/>
    </x:row>
    <x:row r="2" ht="34" customHeight="1">
      <x:c r="A2" s="6" t="str">
        <x:v>Formula-driven summary. Update the test sheets; do not type over KPI cells.</x:v>
      </x:c>
      <x:c r="B2" s="6"/>
      <x:c r="C2" s="6"/>
      <x:c r="D2" s="6"/>
      <x:c r="E2" s="6"/>
      <x:c r="F2" s="6"/>
    </x:row>
    <x:row r="4" ht="32" customHeight="1">
      <x:c r="A4" s="11" t="str">
        <x:v>Metric</x:v>
      </x:c>
      <x:c r="B4" s="12" t="str">
        <x:v>Value</x:v>
      </x:c>
      <x:c r="D4" s="11" t="str">
        <x:v>Release decision</x:v>
      </x:c>
      <x:c r="E4" s="19"/>
      <x:c r="F4" s="12"/>
    </x:row>
    <x:row r="5">
      <x:c r="A5" s="16" t="str">
        <x:v>Recipe attempts</x:v>
      </x:c>
      <x:c r="B5" s="16" t="n">
        <x:f>COUNTIF('Test Sessions'!$M$5:$M$104,"OK")+COUNTIF('Test Sessions'!$M$5:$M$104,"NG")+COUNTIF('Test Sessions'!$M$5:$M$104,"Blocked")</x:f>
        <x:v>0</x:v>
      </x:c>
      <x:c r="D5" s="137" t="str">
        <x:f>IF(B10&gt;0,"NO-GO — open P0",IF(B12&gt;0,"NO-GO — mandatory coverage NG",IF(B5&lt;30,"SOAK INCOMPLETE — need 30 attempts",IF(B8&gt;0,"HOLD — blocked attempts remain","READY FOR SIGN-OFF"))))</x:f>
        <x:v>NO-GO — mandatory coverage NG</x:v>
      </x:c>
      <x:c r="E5" s="138"/>
      <x:c r="F5" s="139"/>
    </x:row>
    <x:row r="6">
      <x:c r="A6" s="17" t="str">
        <x:v>OK</x:v>
      </x:c>
      <x:c r="B6" s="17" t="n">
        <x:f>COUNTIF('Test Sessions'!$M$5:$M$104,"OK")</x:f>
        <x:v>0</x:v>
      </x:c>
      <x:c r="D6" s="140"/>
      <x:c r="E6" s="141"/>
      <x:c r="F6" s="142"/>
    </x:row>
    <x:row r="7">
      <x:c r="A7" s="17" t="str">
        <x:v>NG</x:v>
      </x:c>
      <x:c r="B7" s="17" t="n">
        <x:f>COUNTIF('Test Sessions'!$M$5:$M$104,"NG")</x:f>
        <x:v>0</x:v>
      </x:c>
      <x:c r="D7" s="143"/>
      <x:c r="E7" s="144"/>
      <x:c r="F7" s="145"/>
    </x:row>
    <x:row r="8">
      <x:c r="A8" s="17" t="str">
        <x:v>Blocked</x:v>
      </x:c>
      <x:c r="B8" s="17" t="n">
        <x:f>COUNTIF('Test Sessions'!$M$5:$M$104,"Blocked")</x:f>
        <x:v>0</x:v>
      </x:c>
    </x:row>
    <x:row r="9" ht="32" customHeight="1">
      <x:c r="A9" s="17" t="str">
        <x:v>OK rate</x:v>
      </x:c>
      <x:c r="B9" s="107" t="n">
        <x:f>IF(B5=0,0,B6/B5)</x:f>
        <x:v>0</x:v>
      </x:c>
      <x:c r="D9" s="11" t="str">
        <x:v>Thresholds</x:v>
      </x:c>
      <x:c r="E9" s="19"/>
      <x:c r="F9" s="12"/>
    </x:row>
    <x:row r="10">
      <x:c r="A10" s="17" t="str">
        <x:v>Open P0 reviews</x:v>
      </x:c>
      <x:c r="B10" s="17" t="n">
        <x:f>COUNTIFS('Recipe Reviews'!$H$5:$H$104,"P0",'Recipe Reviews'!$T$5:$T$104,"&lt;&gt;Closed")</x:f>
        <x:v>0</x:v>
      </x:c>
      <x:c r="D10" s="16" t="str">
        <x:v>Minimum recipe attempts: 30</x:v>
      </x:c>
      <x:c r="E10" s="16"/>
      <x:c r="F10" s="16"/>
    </x:row>
    <x:row r="11">
      <x:c r="A11" s="17" t="str">
        <x:v>Coverage passed</x:v>
      </x:c>
      <x:c r="B11" s="17" t="n">
        <x:f>COUNTIF('Coverage Matrix'!$J$5:$J$104,"Pass")</x:f>
        <x:v>0</x:v>
      </x:c>
      <x:c r="D11" s="17" t="str">
        <x:v>Open P0 reviews: 0</x:v>
      </x:c>
      <x:c r="E11" s="17"/>
      <x:c r="F11" s="17"/>
    </x:row>
    <x:row r="12">
      <x:c r="A12" s="17" t="str">
        <x:v>Coverage NG</x:v>
      </x:c>
      <x:c r="B12" s="17" t="n">
        <x:f>COUNTIF('Coverage Matrix'!$J$5:$J$104,"NG")</x:f>
        <x:v>1</x:v>
      </x:c>
      <x:c r="D12" s="17" t="str">
        <x:v>Mandatory coverage NG: 0</x:v>
      </x:c>
      <x:c r="E12" s="17"/>
      <x:c r="F12" s="17"/>
    </x:row>
    <x:row r="13">
      <x:c r="A13" s="17" t="str">
        <x:v>Average idea load (sec)</x:v>
      </x:c>
      <x:c r="B13" s="108" t="n">
        <x:f>IFERROR(AVERAGEIF('Test Sessions'!$Q$5:$Q$104,"&gt;0"),0)</x:f>
        <x:v>0</x:v>
      </x:c>
      <x:c r="D13" s="17" t="str">
        <x:v>Blocked attempts at sign-off: 0</x:v>
      </x:c>
      <x:c r="E13" s="17"/>
      <x:c r="F13" s="17"/>
    </x:row>
    <x:row r="14">
      <x:c r="A14" s="18" t="str">
        <x:v>Max idea load (sec)</x:v>
      </x:c>
      <x:c r="B14" s="109" t="n">
        <x:f>MAX('Test Sessions'!$Q$5:$Q$104)</x:f>
        <x:v>0</x:v>
      </x:c>
      <x:c r="D14" s="18" t="str">
        <x:v>Soak duration: 5–7 days</x:v>
      </x:c>
      <x:c r="E14" s="18"/>
      <x:c r="F14" s="18"/>
    </x:row>
  </x:sheetData>
  <x:mergeCells>
    <x:mergeCell ref="A1:F1"/>
    <x:mergeCell ref="A2:F2"/>
    <x:mergeCell ref="D4:F4"/>
    <x:mergeCell ref="D5:F7"/>
    <x:mergeCell ref="D9:F9"/>
    <x:mergeCell ref="D10:F10"/>
    <x:mergeCell ref="D11:F11"/>
    <x:mergeCell ref="D12:F12"/>
    <x:mergeCell ref="D13:F13"/>
    <x:mergeCell ref="D14:F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8" hidden="0" customWidth="1"/>
    <x:col min="4" max="4" width="12" hidden="0" customWidth="1"/>
    <x:col min="5" max="5" width="42" hidden="0" customWidth="1"/>
    <x:col min="6" max="6" width="28" hidden="0" customWidth="1"/>
  </x:cols>
  <x:sheetData>
    <x:row r="1" ht="36" customHeight="1">
      <x:c r="A1" s="3" t="str">
        <x:v>Issue Guide</x:v>
      </x:c>
      <x:c r="B1" s="3"/>
      <x:c r="C1" s="3"/>
      <x:c r="D1" s="3"/>
      <x:c r="E1" s="3"/>
      <x:c r="F1" s="3"/>
    </x:row>
    <x:row r="2" ht="34" customHeight="1">
      <x:c r="A2" s="6" t="str">
        <x:v>Use consistent severity and outcome language so the evidence can become automated gates.</x:v>
      </x:c>
      <x:c r="B2" s="6"/>
      <x:c r="C2" s="6"/>
      <x:c r="D2" s="6"/>
      <x:c r="E2" s="6"/>
      <x:c r="F2" s="6"/>
    </x:row>
    <x:row r="4" ht="32" customHeight="1">
      <x:c r="A4" s="11" t="str">
        <x:v>Outcome</x:v>
      </x:c>
      <x:c r="B4" s="19" t="str">
        <x:v>Use when</x:v>
      </x:c>
      <x:c r="C4" s="19" t="str">
        <x:v>Required action</x:v>
      </x:c>
      <x:c r="D4" s="19" t="str">
        <x:v>Severity</x:v>
      </x:c>
      <x:c r="E4" s="19" t="str">
        <x:v>Examples</x:v>
      </x:c>
      <x:c r="F4" s="12" t="str">
        <x:v>Release effect</x:v>
      </x:c>
    </x:row>
    <x:row r="5">
      <x:c r="A5" s="16" t="str">
        <x:v>OK</x:v>
      </x:c>
      <x:c r="B5" s="16" t="str">
        <x:v>Recipe is coherent, safe, complete, and quantities make sense</x:v>
      </x:c>
      <x:c r="C5" s="16" t="str">
        <x:v>Log the provenance and whether it was cooked</x:v>
      </x:c>
      <x:c r="D5" s="16" t="str">
        <x:v>—</x:v>
      </x:c>
      <x:c r="E5" s="16" t="str">
        <x:v>No unexplained sauce; inventory and grocery list agree</x:v>
      </x:c>
      <x:c r="F5" s="16" t="str">
        <x:v>Positive release evidence</x:v>
      </x:c>
    </x:row>
    <x:row r="6">
      <x:c r="A6" s="17" t="str">
        <x:v>NG</x:v>
      </x:c>
      <x:c r="B6" s="17" t="str">
        <x:v>Something about the recipe is wrong or genuinely weird</x:v>
      </x:c>
      <x:c r="C6" s="17" t="str">
        <x:v>Submit report; create Recipe Review row</x:v>
      </x:c>
      <x:c r="D6" s="17" t="str">
        <x:v>P0–P2</x:v>
      </x:c>
      <x:c r="E6" s="17" t="str">
        <x:v>Wrong method, quantity, timing, interaction, or ingredient</x:v>
      </x:c>
      <x:c r="F6" s="17" t="str">
        <x:v>Must be triaged</x:v>
      </x:c>
    </x:row>
    <x:row r="7">
      <x:c r="A7" s="17" t="str">
        <x:v>Blocked</x:v>
      </x:c>
      <x:c r="B7" s="17" t="str">
        <x:v>The test could not reach a recipe result</x:v>
      </x:c>
      <x:c r="C7" s="17" t="str">
        <x:v>Capture exact error, time, browser, and build</x:v>
      </x:c>
      <x:c r="D7" s="17" t="str">
        <x:v>P0–P2</x:v>
      </x:c>
      <x:c r="E7" s="17" t="str">
        <x:v>Fetch failure, login lockout, save failure, 429</x:v>
      </x:c>
      <x:c r="F7" s="17" t="str">
        <x:v>Does not count as OK/NG recipe evidence</x:v>
      </x:c>
    </x:row>
    <x:row r="8">
      <x:c r="A8" s="17" t="str">
        <x:v>P0</x:v>
      </x:c>
      <x:c r="B8" s="17" t="str">
        <x:v>Safety, data loss, account isolation, or uncookable plan</x:v>
      </x:c>
      <x:c r="C8" s="17" t="str">
        <x:v>Stop release; fix and rerun</x:v>
      </x:c>
      <x:c r="D8" s="17" t="str">
        <x:v>P0</x:v>
      </x:c>
      <x:c r="E8" s="17" t="str">
        <x:v>Raw poultry added late; shared kitchen save rejected</x:v>
      </x:c>
      <x:c r="F8" s="17" t="str">
        <x:v>Automatic NO-GO</x:v>
      </x:c>
    </x:row>
    <x:row r="9">
      <x:c r="A9" s="17" t="str">
        <x:v>P1</x:v>
      </x:c>
      <x:c r="B9" s="17" t="str">
        <x:v>Material recipe correctness or core workflow failure</x:v>
      </x:c>
      <x:c r="C9" s="17" t="str">
        <x:v>Fix before launch or explicitly waive with owner/date</x:v>
      </x:c>
      <x:c r="D9" s="17" t="str">
        <x:v>P1</x:v>
      </x:c>
      <x:c r="E9" s="17" t="str">
        <x:v>Wrong unit, stale pantry, false grocery item</x:v>
      </x:c>
      <x:c r="F9" s="17" t="str">
        <x:v>Coverage must pass</x:v>
      </x:c>
    </x:row>
    <x:row r="10">
      <x:c r="A10" s="18" t="str">
        <x:v>P2</x:v>
      </x:c>
      <x:c r="B10" s="18" t="str">
        <x:v>Clarity, polish, or minor UX friction</x:v>
      </x:c>
      <x:c r="C10" s="18" t="str">
        <x:v>Backlog unless repeated or misleading</x:v>
      </x:c>
      <x:c r="D10" s="18" t="str">
        <x:v>P2</x:v>
      </x:c>
      <x:c r="E10" s="18" t="str">
        <x:v>Awkward copy, redundant sentence</x:v>
      </x:c>
      <x:c r="F10" s="18" t="str">
        <x:v>May ship if documented</x:v>
      </x:c>
    </x:row>
    <x:row r="13" ht="32" customHeight="1">
      <x:c r="A13" s="11" t="str">
        <x:v>Recipe OK checklist</x:v>
      </x:c>
      <x:c r="B13" s="19"/>
      <x:c r="C13" s="19"/>
      <x:c r="D13" s="19"/>
      <x:c r="E13" s="19"/>
      <x:c r="F13" s="12"/>
    </x:row>
    <x:row r="14">
      <x:c r="A14" s="16" t="str">
        <x:v>Ingredients match the intended dish and pantry state.</x:v>
      </x:c>
      <x:c r="B14" s="16"/>
      <x:c r="C14" s="16"/>
      <x:c r="D14" s="16"/>
      <x:c r="E14" s="16"/>
      <x:c r="F14" s="16"/>
    </x:row>
    <x:row r="15">
      <x:c r="A15" s="17" t="str">
        <x:v>Every meaningful ingredient has a sensible quantity and unit.</x:v>
      </x:c>
      <x:c r="B15" s="17"/>
      <x:c r="C15" s="17"/>
      <x:c r="D15" s="17"/>
      <x:c r="E15" s="17"/>
      <x:c r="F15" s="17"/>
    </x:row>
    <x:row r="16">
      <x:c r="A16" s="17" t="str">
        <x:v>Method, equipment, order, and timing are physically cookable.</x:v>
      </x:c>
      <x:c r="B16" s="17"/>
      <x:c r="C16" s="17"/>
      <x:c r="D16" s="17"/>
      <x:c r="E16" s="17"/>
      <x:c r="F16" s="17"/>
    </x:row>
    <x:row r="17">
      <x:c r="A17" s="17" t="str">
        <x:v>Safety endpoints and raw/cooked forms are correct.</x:v>
      </x:c>
      <x:c r="B17" s="17"/>
      <x:c r="C17" s="17"/>
      <x:c r="D17" s="17"/>
      <x:c r="E17" s="17"/>
      <x:c r="F17" s="17"/>
    </x:row>
    <x:row r="18">
      <x:c r="A18" s="17" t="str">
        <x:v>Active vs waiting time is credible; waiting is explained when useful.</x:v>
      </x:c>
      <x:c r="B18" s="17"/>
      <x:c r="C18" s="17"/>
      <x:c r="D18" s="17"/>
      <x:c r="E18" s="17"/>
      <x:c r="F18" s="17"/>
    </x:row>
    <x:row r="19">
      <x:c r="A19" s="17" t="str">
        <x:v>Grocery list includes only what is missing.</x:v>
      </x:c>
      <x:c r="B19" s="17"/>
      <x:c r="C19" s="17"/>
      <x:c r="D19" s="17"/>
      <x:c r="E19" s="17"/>
      <x:c r="F19" s="17"/>
    </x:row>
    <x:row r="20">
      <x:c r="A20" s="18" t="str">
        <x:v>The recipe does not invent a sauce or helper ingredients without culinary reason.</x:v>
      </x:c>
      <x:c r="B20" s="18"/>
      <x:c r="C20" s="18"/>
      <x:c r="D20" s="18"/>
      <x:c r="E20" s="18"/>
      <x:c r="F20" s="18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